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40" windowHeight="14640" activeTab="1"/>
  </bookViews>
  <sheets>
    <sheet name="等级-经验对照" sheetId="1" r:id="rId1"/>
    <sheet name="日期-等级经验曲线" sheetId="2" r:id="rId2"/>
    <sheet name="参数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<sst xmlns="http://schemas.openxmlformats.org/spreadsheetml/2006/main" count="81" uniqueCount="63">
  <si>
    <t>等级-经验对照</t>
  </si>
  <si>
    <t>等级</t>
  </si>
  <si>
    <t>累计经验</t>
  </si>
  <si>
    <t>下一级经验</t>
  </si>
  <si>
    <t>日期-等级经验曲线</t>
  </si>
  <si>
    <t>新增日期</t>
  </si>
  <si>
    <t>相对天数</t>
  </si>
  <si>
    <t>当日 XP</t>
  </si>
  <si>
    <t>关键节点</t>
  </si>
  <si>
    <t>关键节点表</t>
  </si>
  <si>
    <t/>
  </si>
  <si>
    <t>节点</t>
  </si>
  <si>
    <t>日期</t>
  </si>
  <si>
    <t>等级/说明</t>
  </si>
  <si>
    <t>D1</t>
  </si>
  <si>
    <t>D7</t>
  </si>
  <si>
    <t>D30</t>
  </si>
  <si>
    <t>D60</t>
  </si>
  <si>
    <t>D90</t>
  </si>
  <si>
    <t>D180</t>
  </si>
  <si>
    <t>D365</t>
  </si>
  <si>
    <t>图表说明</t>
  </si>
  <si>
    <t>X 轴使用相对天数 D0-D365，比日期更清楚。</t>
  </si>
  <si>
    <t>数据源</t>
  </si>
  <si>
    <t>等级线：B/E；累计经验线：B/D；当日 XP 辅助线：B/C。</t>
  </si>
  <si>
    <t>参数说明</t>
  </si>
  <si>
    <t>参数</t>
  </si>
  <si>
    <t>值</t>
  </si>
  <si>
    <t>等级上限</t>
  </si>
  <si>
    <t>基础题型 XP</t>
  </si>
  <si>
    <t>普通用户每日 level</t>
  </si>
  <si>
    <t>普通用户每日 XP</t>
  </si>
  <si>
    <t>曲线天数</t>
  </si>
  <si>
    <t>等级锚点</t>
  </si>
  <si>
    <t>说明</t>
  </si>
  <si>
    <t>初始等级</t>
  </si>
  <si>
    <t>首日约到 Lv3</t>
  </si>
  <si>
    <t>7 日约到 Lv10</t>
  </si>
  <si>
    <t>30 日约到 Lv25</t>
  </si>
  <si>
    <t>60 日约到 Lv37</t>
  </si>
  <si>
    <t>90 日约到 Lv45</t>
  </si>
  <si>
    <t>180 日约到 Lv65</t>
  </si>
  <si>
    <t>365 日约到 Lv100</t>
  </si>
  <si>
    <t>每日 XP 留存天数</t>
  </si>
  <si>
    <t>首日约 3 个基础学习行为</t>
  </si>
  <si>
    <t>首周形成轻量学习节奏</t>
  </si>
  <si>
    <t>30 日后课程完成数和进阶题占比提升</t>
  </si>
  <si>
    <t>两个月后学习习惯更稳定</t>
  </si>
  <si>
    <t>季度留存用户更愿意做口语/听力</t>
  </si>
  <si>
    <t>半年留存用户学习深度继续增加</t>
  </si>
  <si>
    <t>年度留存用户进入稳定高频学习</t>
  </si>
  <si>
    <t>1</t>
  </si>
  <si>
    <t>修改 B4:B9、等级锚点或每日 XP 留存曲线锚点，会影响前两张表。</t>
  </si>
  <si>
    <t>2</t>
  </si>
  <si>
    <t>等级页通过等级锚点线性插值生成累计经验，并四舍五入到 5 的倍数。</t>
  </si>
  <si>
    <t>3</t>
  </si>
  <si>
    <t>曲线页按新增日期起算，当日 XP 随留存天数分段增长，累计经验为每日 XP 累加。</t>
  </si>
  <si>
    <t>4</t>
  </si>
  <si>
    <t>多邻国用 XP 做即时反馈，但长期成长会受学习习惯、任务、活动影响；Pinu 第一版先只建课程 XP 地基。</t>
  </si>
  <si>
    <t>5</t>
  </si>
  <si>
    <t>第一版暂不引入 Coins、任务 XP、倍卡 XP，避免早期经济系统过重。</t>
  </si>
  <si>
    <t>6</t>
  </si>
  <si>
    <t>如未来任务、倍卡或活动使 XP 长期膨胀，应优先上调中后段等级锚点。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</si>
</sst>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  <numFmt numFmtId="177" formatCode="yyyy\-mm\-dd"/>
    <numFmt numFmtId="178" formatCode="&quot;D&quot;0"/>
  </numFmts>
  <fonts count="24">
    <font>
      <sz val="11"/>
      <name val="Carlito"/>
      <charset val="134"/>
    </font>
    <font>
      <b/>
      <sz val="16"/>
      <color rgb="FF111827"/>
      <name val="Arial"/>
      <charset val="134"/>
    </font>
    <font>
      <b/>
      <sz val="11"/>
      <color rgb="FF111827"/>
      <name val="Arial"/>
      <charset val="134"/>
    </font>
    <font>
      <sz val="11"/>
      <color rgb="FF111827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</cellStyleXfs>
  <cellXfs count="17">
    <xf numFmtId="0" fontId="0" fillId="0" borderId="0" xfId="49"/>
    <xf numFmtId="0" fontId="1" fillId="0" borderId="0" xfId="49" applyFont="1"/>
    <xf numFmtId="0" fontId="2" fillId="0" borderId="1" xfId="49" applyFont="1" applyBorder="1" applyAlignment="1">
      <alignment horizontal="center"/>
    </xf>
    <xf numFmtId="0" fontId="3" fillId="0" borderId="1" xfId="49" applyFont="1" applyBorder="1"/>
    <xf numFmtId="3" fontId="3" fillId="0" borderId="1" xfId="49" applyNumberFormat="1" applyFont="1" applyBorder="1"/>
    <xf numFmtId="176" fontId="3" fillId="0" borderId="1" xfId="49" applyNumberFormat="1" applyFont="1" applyBorder="1"/>
    <xf numFmtId="177" fontId="3" fillId="0" borderId="1" xfId="49" applyNumberFormat="1" applyFont="1" applyBorder="1"/>
    <xf numFmtId="3" fontId="2" fillId="0" borderId="1" xfId="49" applyNumberFormat="1" applyFont="1" applyBorder="1" applyAlignment="1">
      <alignment horizontal="center"/>
    </xf>
    <xf numFmtId="0" fontId="2" fillId="0" borderId="1" xfId="49" applyFont="1" applyBorder="1" applyAlignment="1">
      <alignment horizontal="center" wrapText="1"/>
    </xf>
    <xf numFmtId="178" fontId="3" fillId="0" borderId="1" xfId="49" applyNumberFormat="1" applyFont="1" applyBorder="1"/>
    <xf numFmtId="0" fontId="3" fillId="0" borderId="1" xfId="49" applyFont="1" applyBorder="1" applyAlignment="1">
      <alignment wrapText="1"/>
    </xf>
    <xf numFmtId="0" fontId="2" fillId="0" borderId="1" xfId="49" applyFont="1" applyBorder="1" applyAlignment="1">
      <alignment wrapText="1"/>
    </xf>
    <xf numFmtId="0" fontId="0" fillId="0" borderId="2" xfId="49" applyBorder="1"/>
    <xf numFmtId="0" fontId="0" fillId="0" borderId="3" xfId="49" applyBorder="1"/>
    <xf numFmtId="0" fontId="0" fillId="0" borderId="1" xfId="49" applyBorder="1" applyAlignment="1">
      <alignment wrapText="1"/>
    </xf>
    <xf numFmtId="177" fontId="0" fillId="0" borderId="1" xfId="49" applyNumberFormat="1" applyBorder="1" applyAlignment="1">
      <alignment wrapText="1"/>
    </xf>
    <xf numFmtId="3" fontId="0" fillId="0" borderId="1" xfId="49" applyNumberFormat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留存周期 - 等级/累计经验曲线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'日期-等级经验曲线'!$E$3</c:f>
              <c:strCache>
                <c:ptCount val="1"/>
                <c:pt idx="0">
                  <c:v>等级</c:v>
                </c:pt>
              </c:strCache>
            </c:strRef>
          </c:tx>
          <c:spPr>
            <a:ln w="63500" cap="rnd">
              <a:solidFill>
                <a:schemeClr val="accent3">
                  <a:shade val="76667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'日期-等级经验曲线'!$B$4:$B$369</c:f>
              <c:numCache>
                <c:formatCode>#,##0</c:formatCode>
                <c:ptCount val="366"/>
                <c:pt idx="0" c:formatCode="#,##0">
                  <c:v>0</c:v>
                </c:pt>
                <c:pt idx="1" c:formatCode="#,##0">
                  <c:v>1</c:v>
                </c:pt>
                <c:pt idx="2" c:formatCode="#,##0">
                  <c:v>2</c:v>
                </c:pt>
                <c:pt idx="3" c:formatCode="#,##0">
                  <c:v>3</c:v>
                </c:pt>
                <c:pt idx="4" c:formatCode="#,##0">
                  <c:v>4</c:v>
                </c:pt>
                <c:pt idx="5" c:formatCode="#,##0">
                  <c:v>5</c:v>
                </c:pt>
                <c:pt idx="6" c:formatCode="#,##0">
                  <c:v>6</c:v>
                </c:pt>
                <c:pt idx="7" c:formatCode="#,##0">
                  <c:v>7</c:v>
                </c:pt>
                <c:pt idx="8" c:formatCode="#,##0">
                  <c:v>8</c:v>
                </c:pt>
                <c:pt idx="9" c:formatCode="#,##0">
                  <c:v>9</c:v>
                </c:pt>
                <c:pt idx="10" c:formatCode="#,##0">
                  <c:v>10</c:v>
                </c:pt>
                <c:pt idx="11" c:formatCode="#,##0">
                  <c:v>11</c:v>
                </c:pt>
                <c:pt idx="12" c:formatCode="#,##0">
                  <c:v>12</c:v>
                </c:pt>
                <c:pt idx="13" c:formatCode="#,##0">
                  <c:v>13</c:v>
                </c:pt>
                <c:pt idx="14" c:formatCode="#,##0">
                  <c:v>14</c:v>
                </c:pt>
                <c:pt idx="15" c:formatCode="#,##0">
                  <c:v>15</c:v>
                </c:pt>
                <c:pt idx="16" c:formatCode="#,##0">
                  <c:v>16</c:v>
                </c:pt>
                <c:pt idx="17" c:formatCode="#,##0">
                  <c:v>17</c:v>
                </c:pt>
                <c:pt idx="18" c:formatCode="#,##0">
                  <c:v>18</c:v>
                </c:pt>
                <c:pt idx="19" c:formatCode="#,##0">
                  <c:v>19</c:v>
                </c:pt>
                <c:pt idx="20" c:formatCode="#,##0">
                  <c:v>20</c:v>
                </c:pt>
                <c:pt idx="21" c:formatCode="#,##0">
                  <c:v>21</c:v>
                </c:pt>
                <c:pt idx="22" c:formatCode="#,##0">
                  <c:v>22</c:v>
                </c:pt>
                <c:pt idx="23" c:formatCode="#,##0">
                  <c:v>23</c:v>
                </c:pt>
                <c:pt idx="24" c:formatCode="#,##0">
                  <c:v>24</c:v>
                </c:pt>
                <c:pt idx="25" c:formatCode="#,##0">
                  <c:v>25</c:v>
                </c:pt>
                <c:pt idx="26" c:formatCode="#,##0">
                  <c:v>26</c:v>
                </c:pt>
                <c:pt idx="27" c:formatCode="#,##0">
                  <c:v>27</c:v>
                </c:pt>
                <c:pt idx="28" c:formatCode="#,##0">
                  <c:v>28</c:v>
                </c:pt>
                <c:pt idx="29" c:formatCode="#,##0">
                  <c:v>29</c:v>
                </c:pt>
                <c:pt idx="30" c:formatCode="#,##0">
                  <c:v>30</c:v>
                </c:pt>
                <c:pt idx="31" c:formatCode="#,##0">
                  <c:v>31</c:v>
                </c:pt>
                <c:pt idx="32" c:formatCode="#,##0">
                  <c:v>32</c:v>
                </c:pt>
                <c:pt idx="33" c:formatCode="#,##0">
                  <c:v>33</c:v>
                </c:pt>
                <c:pt idx="34" c:formatCode="#,##0">
                  <c:v>34</c:v>
                </c:pt>
                <c:pt idx="35" c:formatCode="#,##0">
                  <c:v>35</c:v>
                </c:pt>
                <c:pt idx="36" c:formatCode="#,##0">
                  <c:v>36</c:v>
                </c:pt>
                <c:pt idx="37" c:formatCode="#,##0">
                  <c:v>37</c:v>
                </c:pt>
                <c:pt idx="38" c:formatCode="#,##0">
                  <c:v>38</c:v>
                </c:pt>
                <c:pt idx="39" c:formatCode="#,##0">
                  <c:v>39</c:v>
                </c:pt>
                <c:pt idx="40" c:formatCode="#,##0">
                  <c:v>40</c:v>
                </c:pt>
                <c:pt idx="41" c:formatCode="#,##0">
                  <c:v>41</c:v>
                </c:pt>
                <c:pt idx="42" c:formatCode="#,##0">
                  <c:v>42</c:v>
                </c:pt>
                <c:pt idx="43" c:formatCode="#,##0">
                  <c:v>43</c:v>
                </c:pt>
                <c:pt idx="44" c:formatCode="#,##0">
                  <c:v>44</c:v>
                </c:pt>
                <c:pt idx="45" c:formatCode="#,##0">
                  <c:v>45</c:v>
                </c:pt>
                <c:pt idx="46" c:formatCode="#,##0">
                  <c:v>46</c:v>
                </c:pt>
                <c:pt idx="47" c:formatCode="#,##0">
                  <c:v>47</c:v>
                </c:pt>
                <c:pt idx="48" c:formatCode="#,##0">
                  <c:v>48</c:v>
                </c:pt>
                <c:pt idx="49" c:formatCode="#,##0">
                  <c:v>49</c:v>
                </c:pt>
                <c:pt idx="50" c:formatCode="#,##0">
                  <c:v>50</c:v>
                </c:pt>
                <c:pt idx="51" c:formatCode="#,##0">
                  <c:v>51</c:v>
                </c:pt>
                <c:pt idx="52" c:formatCode="#,##0">
                  <c:v>52</c:v>
                </c:pt>
                <c:pt idx="53" c:formatCode="#,##0">
                  <c:v>53</c:v>
                </c:pt>
                <c:pt idx="54" c:formatCode="#,##0">
                  <c:v>54</c:v>
                </c:pt>
                <c:pt idx="55" c:formatCode="#,##0">
                  <c:v>55</c:v>
                </c:pt>
                <c:pt idx="56" c:formatCode="#,##0">
                  <c:v>56</c:v>
                </c:pt>
                <c:pt idx="57" c:formatCode="#,##0">
                  <c:v>57</c:v>
                </c:pt>
                <c:pt idx="58" c:formatCode="#,##0">
                  <c:v>58</c:v>
                </c:pt>
                <c:pt idx="59" c:formatCode="#,##0">
                  <c:v>59</c:v>
                </c:pt>
                <c:pt idx="60" c:formatCode="#,##0">
                  <c:v>60</c:v>
                </c:pt>
                <c:pt idx="61" c:formatCode="#,##0">
                  <c:v>61</c:v>
                </c:pt>
                <c:pt idx="62" c:formatCode="#,##0">
                  <c:v>62</c:v>
                </c:pt>
                <c:pt idx="63" c:formatCode="#,##0">
                  <c:v>63</c:v>
                </c:pt>
                <c:pt idx="64" c:formatCode="#,##0">
                  <c:v>64</c:v>
                </c:pt>
                <c:pt idx="65" c:formatCode="#,##0">
                  <c:v>65</c:v>
                </c:pt>
                <c:pt idx="66" c:formatCode="#,##0">
                  <c:v>66</c:v>
                </c:pt>
                <c:pt idx="67" c:formatCode="#,##0">
                  <c:v>67</c:v>
                </c:pt>
                <c:pt idx="68" c:formatCode="#,##0">
                  <c:v>68</c:v>
                </c:pt>
                <c:pt idx="69" c:formatCode="#,##0">
                  <c:v>69</c:v>
                </c:pt>
                <c:pt idx="70" c:formatCode="#,##0">
                  <c:v>70</c:v>
                </c:pt>
                <c:pt idx="71" c:formatCode="#,##0">
                  <c:v>71</c:v>
                </c:pt>
                <c:pt idx="72" c:formatCode="#,##0">
                  <c:v>72</c:v>
                </c:pt>
                <c:pt idx="73" c:formatCode="#,##0">
                  <c:v>73</c:v>
                </c:pt>
                <c:pt idx="74" c:formatCode="#,##0">
                  <c:v>74</c:v>
                </c:pt>
                <c:pt idx="75" c:formatCode="#,##0">
                  <c:v>75</c:v>
                </c:pt>
                <c:pt idx="76" c:formatCode="#,##0">
                  <c:v>76</c:v>
                </c:pt>
                <c:pt idx="77" c:formatCode="#,##0">
                  <c:v>77</c:v>
                </c:pt>
                <c:pt idx="78" c:formatCode="#,##0">
                  <c:v>78</c:v>
                </c:pt>
                <c:pt idx="79" c:formatCode="#,##0">
                  <c:v>79</c:v>
                </c:pt>
                <c:pt idx="80" c:formatCode="#,##0">
                  <c:v>80</c:v>
                </c:pt>
                <c:pt idx="81" c:formatCode="#,##0">
                  <c:v>81</c:v>
                </c:pt>
                <c:pt idx="82" c:formatCode="#,##0">
                  <c:v>82</c:v>
                </c:pt>
                <c:pt idx="83" c:formatCode="#,##0">
                  <c:v>83</c:v>
                </c:pt>
                <c:pt idx="84" c:formatCode="#,##0">
                  <c:v>84</c:v>
                </c:pt>
                <c:pt idx="85" c:formatCode="#,##0">
                  <c:v>85</c:v>
                </c:pt>
                <c:pt idx="86" c:formatCode="#,##0">
                  <c:v>86</c:v>
                </c:pt>
                <c:pt idx="87" c:formatCode="#,##0">
                  <c:v>87</c:v>
                </c:pt>
                <c:pt idx="88" c:formatCode="#,##0">
                  <c:v>88</c:v>
                </c:pt>
                <c:pt idx="89" c:formatCode="#,##0">
                  <c:v>89</c:v>
                </c:pt>
                <c:pt idx="90" c:formatCode="#,##0">
                  <c:v>90</c:v>
                </c:pt>
                <c:pt idx="91" c:formatCode="#,##0">
                  <c:v>91</c:v>
                </c:pt>
                <c:pt idx="92" c:formatCode="#,##0">
                  <c:v>92</c:v>
                </c:pt>
                <c:pt idx="93" c:formatCode="#,##0">
                  <c:v>93</c:v>
                </c:pt>
                <c:pt idx="94" c:formatCode="#,##0">
                  <c:v>94</c:v>
                </c:pt>
                <c:pt idx="95" c:formatCode="#,##0">
                  <c:v>95</c:v>
                </c:pt>
                <c:pt idx="96" c:formatCode="#,##0">
                  <c:v>96</c:v>
                </c:pt>
                <c:pt idx="97" c:formatCode="#,##0">
                  <c:v>97</c:v>
                </c:pt>
                <c:pt idx="98" c:formatCode="#,##0">
                  <c:v>98</c:v>
                </c:pt>
                <c:pt idx="99" c:formatCode="#,##0">
                  <c:v>99</c:v>
                </c:pt>
                <c:pt idx="100" c:formatCode="#,##0">
                  <c:v>100</c:v>
                </c:pt>
                <c:pt idx="101" c:formatCode="#,##0">
                  <c:v>101</c:v>
                </c:pt>
                <c:pt idx="102" c:formatCode="#,##0">
                  <c:v>102</c:v>
                </c:pt>
                <c:pt idx="103" c:formatCode="#,##0">
                  <c:v>103</c:v>
                </c:pt>
                <c:pt idx="104" c:formatCode="#,##0">
                  <c:v>104</c:v>
                </c:pt>
                <c:pt idx="105" c:formatCode="#,##0">
                  <c:v>105</c:v>
                </c:pt>
                <c:pt idx="106" c:formatCode="#,##0">
                  <c:v>106</c:v>
                </c:pt>
                <c:pt idx="107" c:formatCode="#,##0">
                  <c:v>107</c:v>
                </c:pt>
                <c:pt idx="108" c:formatCode="#,##0">
                  <c:v>108</c:v>
                </c:pt>
                <c:pt idx="109" c:formatCode="#,##0">
                  <c:v>109</c:v>
                </c:pt>
                <c:pt idx="110" c:formatCode="#,##0">
                  <c:v>110</c:v>
                </c:pt>
                <c:pt idx="111" c:formatCode="#,##0">
                  <c:v>111</c:v>
                </c:pt>
                <c:pt idx="112" c:formatCode="#,##0">
                  <c:v>112</c:v>
                </c:pt>
                <c:pt idx="113" c:formatCode="#,##0">
                  <c:v>113</c:v>
                </c:pt>
                <c:pt idx="114" c:formatCode="#,##0">
                  <c:v>114</c:v>
                </c:pt>
                <c:pt idx="115" c:formatCode="#,##0">
                  <c:v>115</c:v>
                </c:pt>
                <c:pt idx="116" c:formatCode="#,##0">
                  <c:v>116</c:v>
                </c:pt>
                <c:pt idx="117" c:formatCode="#,##0">
                  <c:v>117</c:v>
                </c:pt>
                <c:pt idx="118" c:formatCode="#,##0">
                  <c:v>118</c:v>
                </c:pt>
                <c:pt idx="119" c:formatCode="#,##0">
                  <c:v>119</c:v>
                </c:pt>
                <c:pt idx="120" c:formatCode="#,##0">
                  <c:v>120</c:v>
                </c:pt>
                <c:pt idx="121" c:formatCode="#,##0">
                  <c:v>121</c:v>
                </c:pt>
                <c:pt idx="122" c:formatCode="#,##0">
                  <c:v>122</c:v>
                </c:pt>
                <c:pt idx="123" c:formatCode="#,##0">
                  <c:v>123</c:v>
                </c:pt>
                <c:pt idx="124" c:formatCode="#,##0">
                  <c:v>124</c:v>
                </c:pt>
                <c:pt idx="125" c:formatCode="#,##0">
                  <c:v>125</c:v>
                </c:pt>
                <c:pt idx="126" c:formatCode="#,##0">
                  <c:v>126</c:v>
                </c:pt>
                <c:pt idx="127" c:formatCode="#,##0">
                  <c:v>127</c:v>
                </c:pt>
                <c:pt idx="128" c:formatCode="#,##0">
                  <c:v>128</c:v>
                </c:pt>
                <c:pt idx="129" c:formatCode="#,##0">
                  <c:v>129</c:v>
                </c:pt>
                <c:pt idx="130" c:formatCode="#,##0">
                  <c:v>130</c:v>
                </c:pt>
                <c:pt idx="131" c:formatCode="#,##0">
                  <c:v>131</c:v>
                </c:pt>
                <c:pt idx="132" c:formatCode="#,##0">
                  <c:v>132</c:v>
                </c:pt>
                <c:pt idx="133" c:formatCode="#,##0">
                  <c:v>133</c:v>
                </c:pt>
                <c:pt idx="134" c:formatCode="#,##0">
                  <c:v>134</c:v>
                </c:pt>
                <c:pt idx="135" c:formatCode="#,##0">
                  <c:v>135</c:v>
                </c:pt>
                <c:pt idx="136" c:formatCode="#,##0">
                  <c:v>136</c:v>
                </c:pt>
                <c:pt idx="137" c:formatCode="#,##0">
                  <c:v>137</c:v>
                </c:pt>
                <c:pt idx="138" c:formatCode="#,##0">
                  <c:v>138</c:v>
                </c:pt>
                <c:pt idx="139" c:formatCode="#,##0">
                  <c:v>139</c:v>
                </c:pt>
                <c:pt idx="140" c:formatCode="#,##0">
                  <c:v>140</c:v>
                </c:pt>
                <c:pt idx="141" c:formatCode="#,##0">
                  <c:v>141</c:v>
                </c:pt>
                <c:pt idx="142" c:formatCode="#,##0">
                  <c:v>142</c:v>
                </c:pt>
                <c:pt idx="143" c:formatCode="#,##0">
                  <c:v>143</c:v>
                </c:pt>
                <c:pt idx="144" c:formatCode="#,##0">
                  <c:v>144</c:v>
                </c:pt>
                <c:pt idx="145" c:formatCode="#,##0">
                  <c:v>145</c:v>
                </c:pt>
                <c:pt idx="146" c:formatCode="#,##0">
                  <c:v>146</c:v>
                </c:pt>
                <c:pt idx="147" c:formatCode="#,##0">
                  <c:v>147</c:v>
                </c:pt>
                <c:pt idx="148" c:formatCode="#,##0">
                  <c:v>148</c:v>
                </c:pt>
                <c:pt idx="149" c:formatCode="#,##0">
                  <c:v>149</c:v>
                </c:pt>
                <c:pt idx="150" c:formatCode="#,##0">
                  <c:v>150</c:v>
                </c:pt>
                <c:pt idx="151" c:formatCode="#,##0">
                  <c:v>151</c:v>
                </c:pt>
                <c:pt idx="152" c:formatCode="#,##0">
                  <c:v>152</c:v>
                </c:pt>
                <c:pt idx="153" c:formatCode="#,##0">
                  <c:v>153</c:v>
                </c:pt>
                <c:pt idx="154" c:formatCode="#,##0">
                  <c:v>154</c:v>
                </c:pt>
                <c:pt idx="155" c:formatCode="#,##0">
                  <c:v>155</c:v>
                </c:pt>
                <c:pt idx="156" c:formatCode="#,##0">
                  <c:v>156</c:v>
                </c:pt>
                <c:pt idx="157" c:formatCode="#,##0">
                  <c:v>157</c:v>
                </c:pt>
                <c:pt idx="158" c:formatCode="#,##0">
                  <c:v>158</c:v>
                </c:pt>
                <c:pt idx="159" c:formatCode="#,##0">
                  <c:v>159</c:v>
                </c:pt>
                <c:pt idx="160" c:formatCode="#,##0">
                  <c:v>160</c:v>
                </c:pt>
                <c:pt idx="161" c:formatCode="#,##0">
                  <c:v>161</c:v>
                </c:pt>
                <c:pt idx="162" c:formatCode="#,##0">
                  <c:v>162</c:v>
                </c:pt>
                <c:pt idx="163" c:formatCode="#,##0">
                  <c:v>163</c:v>
                </c:pt>
                <c:pt idx="164" c:formatCode="#,##0">
                  <c:v>164</c:v>
                </c:pt>
                <c:pt idx="165" c:formatCode="#,##0">
                  <c:v>165</c:v>
                </c:pt>
                <c:pt idx="166" c:formatCode="#,##0">
                  <c:v>166</c:v>
                </c:pt>
                <c:pt idx="167" c:formatCode="#,##0">
                  <c:v>167</c:v>
                </c:pt>
                <c:pt idx="168" c:formatCode="#,##0">
                  <c:v>168</c:v>
                </c:pt>
                <c:pt idx="169" c:formatCode="#,##0">
                  <c:v>169</c:v>
                </c:pt>
                <c:pt idx="170" c:formatCode="#,##0">
                  <c:v>170</c:v>
                </c:pt>
                <c:pt idx="171" c:formatCode="#,##0">
                  <c:v>171</c:v>
                </c:pt>
                <c:pt idx="172" c:formatCode="#,##0">
                  <c:v>172</c:v>
                </c:pt>
                <c:pt idx="173" c:formatCode="#,##0">
                  <c:v>173</c:v>
                </c:pt>
                <c:pt idx="174" c:formatCode="#,##0">
                  <c:v>174</c:v>
                </c:pt>
                <c:pt idx="175" c:formatCode="#,##0">
                  <c:v>175</c:v>
                </c:pt>
                <c:pt idx="176" c:formatCode="#,##0">
                  <c:v>176</c:v>
                </c:pt>
                <c:pt idx="177" c:formatCode="#,##0">
                  <c:v>177</c:v>
                </c:pt>
                <c:pt idx="178" c:formatCode="#,##0">
                  <c:v>178</c:v>
                </c:pt>
                <c:pt idx="179" c:formatCode="#,##0">
                  <c:v>179</c:v>
                </c:pt>
                <c:pt idx="180" c:formatCode="#,##0">
                  <c:v>180</c:v>
                </c:pt>
                <c:pt idx="181" c:formatCode="#,##0">
                  <c:v>181</c:v>
                </c:pt>
                <c:pt idx="182" c:formatCode="#,##0">
                  <c:v>182</c:v>
                </c:pt>
                <c:pt idx="183" c:formatCode="#,##0">
                  <c:v>183</c:v>
                </c:pt>
                <c:pt idx="184" c:formatCode="#,##0">
                  <c:v>184</c:v>
                </c:pt>
                <c:pt idx="185" c:formatCode="#,##0">
                  <c:v>185</c:v>
                </c:pt>
                <c:pt idx="186" c:formatCode="#,##0">
                  <c:v>186</c:v>
                </c:pt>
                <c:pt idx="187" c:formatCode="#,##0">
                  <c:v>187</c:v>
                </c:pt>
                <c:pt idx="188" c:formatCode="#,##0">
                  <c:v>188</c:v>
                </c:pt>
                <c:pt idx="189" c:formatCode="#,##0">
                  <c:v>189</c:v>
                </c:pt>
                <c:pt idx="190" c:formatCode="#,##0">
                  <c:v>190</c:v>
                </c:pt>
                <c:pt idx="191" c:formatCode="#,##0">
                  <c:v>191</c:v>
                </c:pt>
                <c:pt idx="192" c:formatCode="#,##0">
                  <c:v>192</c:v>
                </c:pt>
                <c:pt idx="193" c:formatCode="#,##0">
                  <c:v>193</c:v>
                </c:pt>
                <c:pt idx="194" c:formatCode="#,##0">
                  <c:v>194</c:v>
                </c:pt>
                <c:pt idx="195" c:formatCode="#,##0">
                  <c:v>195</c:v>
                </c:pt>
                <c:pt idx="196" c:formatCode="#,##0">
                  <c:v>196</c:v>
                </c:pt>
                <c:pt idx="197" c:formatCode="#,##0">
                  <c:v>197</c:v>
                </c:pt>
                <c:pt idx="198" c:formatCode="#,##0">
                  <c:v>198</c:v>
                </c:pt>
                <c:pt idx="199" c:formatCode="#,##0">
                  <c:v>199</c:v>
                </c:pt>
                <c:pt idx="200" c:formatCode="#,##0">
                  <c:v>200</c:v>
                </c:pt>
                <c:pt idx="201" c:formatCode="#,##0">
                  <c:v>201</c:v>
                </c:pt>
                <c:pt idx="202" c:formatCode="#,##0">
                  <c:v>202</c:v>
                </c:pt>
                <c:pt idx="203" c:formatCode="#,##0">
                  <c:v>203</c:v>
                </c:pt>
                <c:pt idx="204" c:formatCode="#,##0">
                  <c:v>204</c:v>
                </c:pt>
                <c:pt idx="205" c:formatCode="#,##0">
                  <c:v>205</c:v>
                </c:pt>
                <c:pt idx="206" c:formatCode="#,##0">
                  <c:v>206</c:v>
                </c:pt>
                <c:pt idx="207" c:formatCode="#,##0">
                  <c:v>207</c:v>
                </c:pt>
                <c:pt idx="208" c:formatCode="#,##0">
                  <c:v>208</c:v>
                </c:pt>
                <c:pt idx="209" c:formatCode="#,##0">
                  <c:v>209</c:v>
                </c:pt>
                <c:pt idx="210" c:formatCode="#,##0">
                  <c:v>210</c:v>
                </c:pt>
                <c:pt idx="211" c:formatCode="#,##0">
                  <c:v>211</c:v>
                </c:pt>
                <c:pt idx="212" c:formatCode="#,##0">
                  <c:v>212</c:v>
                </c:pt>
                <c:pt idx="213" c:formatCode="#,##0">
                  <c:v>213</c:v>
                </c:pt>
                <c:pt idx="214" c:formatCode="#,##0">
                  <c:v>214</c:v>
                </c:pt>
                <c:pt idx="215" c:formatCode="#,##0">
                  <c:v>215</c:v>
                </c:pt>
                <c:pt idx="216" c:formatCode="#,##0">
                  <c:v>216</c:v>
                </c:pt>
                <c:pt idx="217" c:formatCode="#,##0">
                  <c:v>217</c:v>
                </c:pt>
                <c:pt idx="218" c:formatCode="#,##0">
                  <c:v>218</c:v>
                </c:pt>
                <c:pt idx="219" c:formatCode="#,##0">
                  <c:v>219</c:v>
                </c:pt>
                <c:pt idx="220" c:formatCode="#,##0">
                  <c:v>220</c:v>
                </c:pt>
                <c:pt idx="221" c:formatCode="#,##0">
                  <c:v>221</c:v>
                </c:pt>
                <c:pt idx="222" c:formatCode="#,##0">
                  <c:v>222</c:v>
                </c:pt>
                <c:pt idx="223" c:formatCode="#,##0">
                  <c:v>223</c:v>
                </c:pt>
                <c:pt idx="224" c:formatCode="#,##0">
                  <c:v>224</c:v>
                </c:pt>
                <c:pt idx="225" c:formatCode="#,##0">
                  <c:v>225</c:v>
                </c:pt>
                <c:pt idx="226" c:formatCode="#,##0">
                  <c:v>226</c:v>
                </c:pt>
                <c:pt idx="227" c:formatCode="#,##0">
                  <c:v>227</c:v>
                </c:pt>
                <c:pt idx="228" c:formatCode="#,##0">
                  <c:v>228</c:v>
                </c:pt>
                <c:pt idx="229" c:formatCode="#,##0">
                  <c:v>229</c:v>
                </c:pt>
                <c:pt idx="230" c:formatCode="#,##0">
                  <c:v>230</c:v>
                </c:pt>
                <c:pt idx="231" c:formatCode="#,##0">
                  <c:v>231</c:v>
                </c:pt>
                <c:pt idx="232" c:formatCode="#,##0">
                  <c:v>232</c:v>
                </c:pt>
                <c:pt idx="233" c:formatCode="#,##0">
                  <c:v>233</c:v>
                </c:pt>
                <c:pt idx="234" c:formatCode="#,##0">
                  <c:v>234</c:v>
                </c:pt>
                <c:pt idx="235" c:formatCode="#,##0">
                  <c:v>235</c:v>
                </c:pt>
                <c:pt idx="236" c:formatCode="#,##0">
                  <c:v>236</c:v>
                </c:pt>
                <c:pt idx="237" c:formatCode="#,##0">
                  <c:v>237</c:v>
                </c:pt>
                <c:pt idx="238" c:formatCode="#,##0">
                  <c:v>238</c:v>
                </c:pt>
                <c:pt idx="239" c:formatCode="#,##0">
                  <c:v>239</c:v>
                </c:pt>
                <c:pt idx="240" c:formatCode="#,##0">
                  <c:v>240</c:v>
                </c:pt>
                <c:pt idx="241" c:formatCode="#,##0">
                  <c:v>241</c:v>
                </c:pt>
                <c:pt idx="242" c:formatCode="#,##0">
                  <c:v>242</c:v>
                </c:pt>
                <c:pt idx="243" c:formatCode="#,##0">
                  <c:v>243</c:v>
                </c:pt>
                <c:pt idx="244" c:formatCode="#,##0">
                  <c:v>244</c:v>
                </c:pt>
                <c:pt idx="245" c:formatCode="#,##0">
                  <c:v>245</c:v>
                </c:pt>
                <c:pt idx="246" c:formatCode="#,##0">
                  <c:v>246</c:v>
                </c:pt>
                <c:pt idx="247" c:formatCode="#,##0">
                  <c:v>247</c:v>
                </c:pt>
                <c:pt idx="248" c:formatCode="#,##0">
                  <c:v>248</c:v>
                </c:pt>
                <c:pt idx="249" c:formatCode="#,##0">
                  <c:v>249</c:v>
                </c:pt>
                <c:pt idx="250" c:formatCode="#,##0">
                  <c:v>250</c:v>
                </c:pt>
                <c:pt idx="251" c:formatCode="#,##0">
                  <c:v>251</c:v>
                </c:pt>
                <c:pt idx="252" c:formatCode="#,##0">
                  <c:v>252</c:v>
                </c:pt>
                <c:pt idx="253" c:formatCode="#,##0">
                  <c:v>253</c:v>
                </c:pt>
                <c:pt idx="254" c:formatCode="#,##0">
                  <c:v>254</c:v>
                </c:pt>
                <c:pt idx="255" c:formatCode="#,##0">
                  <c:v>255</c:v>
                </c:pt>
                <c:pt idx="256" c:formatCode="#,##0">
                  <c:v>256</c:v>
                </c:pt>
                <c:pt idx="257" c:formatCode="#,##0">
                  <c:v>257</c:v>
                </c:pt>
                <c:pt idx="258" c:formatCode="#,##0">
                  <c:v>258</c:v>
                </c:pt>
                <c:pt idx="259" c:formatCode="#,##0">
                  <c:v>259</c:v>
                </c:pt>
                <c:pt idx="260" c:formatCode="#,##0">
                  <c:v>260</c:v>
                </c:pt>
                <c:pt idx="261" c:formatCode="#,##0">
                  <c:v>261</c:v>
                </c:pt>
                <c:pt idx="262" c:formatCode="#,##0">
                  <c:v>262</c:v>
                </c:pt>
                <c:pt idx="263" c:formatCode="#,##0">
                  <c:v>263</c:v>
                </c:pt>
                <c:pt idx="264" c:formatCode="#,##0">
                  <c:v>264</c:v>
                </c:pt>
                <c:pt idx="265" c:formatCode="#,##0">
                  <c:v>265</c:v>
                </c:pt>
                <c:pt idx="266" c:formatCode="#,##0">
                  <c:v>266</c:v>
                </c:pt>
                <c:pt idx="267" c:formatCode="#,##0">
                  <c:v>267</c:v>
                </c:pt>
                <c:pt idx="268" c:formatCode="#,##0">
                  <c:v>268</c:v>
                </c:pt>
                <c:pt idx="269" c:formatCode="#,##0">
                  <c:v>269</c:v>
                </c:pt>
                <c:pt idx="270" c:formatCode="#,##0">
                  <c:v>270</c:v>
                </c:pt>
                <c:pt idx="271" c:formatCode="#,##0">
                  <c:v>271</c:v>
                </c:pt>
                <c:pt idx="272" c:formatCode="#,##0">
                  <c:v>272</c:v>
                </c:pt>
                <c:pt idx="273" c:formatCode="#,##0">
                  <c:v>273</c:v>
                </c:pt>
                <c:pt idx="274" c:formatCode="#,##0">
                  <c:v>274</c:v>
                </c:pt>
                <c:pt idx="275" c:formatCode="#,##0">
                  <c:v>275</c:v>
                </c:pt>
                <c:pt idx="276" c:formatCode="#,##0">
                  <c:v>276</c:v>
                </c:pt>
                <c:pt idx="277" c:formatCode="#,##0">
                  <c:v>277</c:v>
                </c:pt>
                <c:pt idx="278" c:formatCode="#,##0">
                  <c:v>278</c:v>
                </c:pt>
                <c:pt idx="279" c:formatCode="#,##0">
                  <c:v>279</c:v>
                </c:pt>
                <c:pt idx="280" c:formatCode="#,##0">
                  <c:v>280</c:v>
                </c:pt>
                <c:pt idx="281" c:formatCode="#,##0">
                  <c:v>281</c:v>
                </c:pt>
                <c:pt idx="282" c:formatCode="#,##0">
                  <c:v>282</c:v>
                </c:pt>
                <c:pt idx="283" c:formatCode="#,##0">
                  <c:v>283</c:v>
                </c:pt>
                <c:pt idx="284" c:formatCode="#,##0">
                  <c:v>284</c:v>
                </c:pt>
                <c:pt idx="285" c:formatCode="#,##0">
                  <c:v>285</c:v>
                </c:pt>
                <c:pt idx="286" c:formatCode="#,##0">
                  <c:v>286</c:v>
                </c:pt>
                <c:pt idx="287" c:formatCode="#,##0">
                  <c:v>287</c:v>
                </c:pt>
                <c:pt idx="288" c:formatCode="#,##0">
                  <c:v>288</c:v>
                </c:pt>
                <c:pt idx="289" c:formatCode="#,##0">
                  <c:v>289</c:v>
                </c:pt>
                <c:pt idx="290" c:formatCode="#,##0">
                  <c:v>290</c:v>
                </c:pt>
                <c:pt idx="291" c:formatCode="#,##0">
                  <c:v>291</c:v>
                </c:pt>
                <c:pt idx="292" c:formatCode="#,##0">
                  <c:v>292</c:v>
                </c:pt>
                <c:pt idx="293" c:formatCode="#,##0">
                  <c:v>293</c:v>
                </c:pt>
                <c:pt idx="294" c:formatCode="#,##0">
                  <c:v>294</c:v>
                </c:pt>
                <c:pt idx="295" c:formatCode="#,##0">
                  <c:v>295</c:v>
                </c:pt>
                <c:pt idx="296" c:formatCode="#,##0">
                  <c:v>296</c:v>
                </c:pt>
                <c:pt idx="297" c:formatCode="#,##0">
                  <c:v>297</c:v>
                </c:pt>
                <c:pt idx="298" c:formatCode="#,##0">
                  <c:v>298</c:v>
                </c:pt>
                <c:pt idx="299" c:formatCode="#,##0">
                  <c:v>299</c:v>
                </c:pt>
                <c:pt idx="300" c:formatCode="#,##0">
                  <c:v>300</c:v>
                </c:pt>
                <c:pt idx="301" c:formatCode="#,##0">
                  <c:v>301</c:v>
                </c:pt>
                <c:pt idx="302" c:formatCode="#,##0">
                  <c:v>302</c:v>
                </c:pt>
                <c:pt idx="303" c:formatCode="#,##0">
                  <c:v>303</c:v>
                </c:pt>
                <c:pt idx="304" c:formatCode="#,##0">
                  <c:v>304</c:v>
                </c:pt>
                <c:pt idx="305" c:formatCode="#,##0">
                  <c:v>305</c:v>
                </c:pt>
                <c:pt idx="306" c:formatCode="#,##0">
                  <c:v>306</c:v>
                </c:pt>
                <c:pt idx="307" c:formatCode="#,##0">
                  <c:v>307</c:v>
                </c:pt>
                <c:pt idx="308" c:formatCode="#,##0">
                  <c:v>308</c:v>
                </c:pt>
                <c:pt idx="309" c:formatCode="#,##0">
                  <c:v>309</c:v>
                </c:pt>
                <c:pt idx="310" c:formatCode="#,##0">
                  <c:v>310</c:v>
                </c:pt>
                <c:pt idx="311" c:formatCode="#,##0">
                  <c:v>311</c:v>
                </c:pt>
                <c:pt idx="312" c:formatCode="#,##0">
                  <c:v>312</c:v>
                </c:pt>
                <c:pt idx="313" c:formatCode="#,##0">
                  <c:v>313</c:v>
                </c:pt>
                <c:pt idx="314" c:formatCode="#,##0">
                  <c:v>314</c:v>
                </c:pt>
                <c:pt idx="315" c:formatCode="#,##0">
                  <c:v>315</c:v>
                </c:pt>
                <c:pt idx="316" c:formatCode="#,##0">
                  <c:v>316</c:v>
                </c:pt>
                <c:pt idx="317" c:formatCode="#,##0">
                  <c:v>317</c:v>
                </c:pt>
                <c:pt idx="318" c:formatCode="#,##0">
                  <c:v>318</c:v>
                </c:pt>
                <c:pt idx="319" c:formatCode="#,##0">
                  <c:v>319</c:v>
                </c:pt>
                <c:pt idx="320" c:formatCode="#,##0">
                  <c:v>320</c:v>
                </c:pt>
                <c:pt idx="321" c:formatCode="#,##0">
                  <c:v>321</c:v>
                </c:pt>
                <c:pt idx="322" c:formatCode="#,##0">
                  <c:v>322</c:v>
                </c:pt>
                <c:pt idx="323" c:formatCode="#,##0">
                  <c:v>323</c:v>
                </c:pt>
                <c:pt idx="324" c:formatCode="#,##0">
                  <c:v>324</c:v>
                </c:pt>
                <c:pt idx="325" c:formatCode="#,##0">
                  <c:v>325</c:v>
                </c:pt>
                <c:pt idx="326" c:formatCode="#,##0">
                  <c:v>326</c:v>
                </c:pt>
                <c:pt idx="327" c:formatCode="#,##0">
                  <c:v>327</c:v>
                </c:pt>
                <c:pt idx="328" c:formatCode="#,##0">
                  <c:v>328</c:v>
                </c:pt>
                <c:pt idx="329" c:formatCode="#,##0">
                  <c:v>329</c:v>
                </c:pt>
                <c:pt idx="330" c:formatCode="#,##0">
                  <c:v>330</c:v>
                </c:pt>
                <c:pt idx="331" c:formatCode="#,##0">
                  <c:v>331</c:v>
                </c:pt>
                <c:pt idx="332" c:formatCode="#,##0">
                  <c:v>332</c:v>
                </c:pt>
                <c:pt idx="333" c:formatCode="#,##0">
                  <c:v>333</c:v>
                </c:pt>
                <c:pt idx="334" c:formatCode="#,##0">
                  <c:v>334</c:v>
                </c:pt>
                <c:pt idx="335" c:formatCode="#,##0">
                  <c:v>335</c:v>
                </c:pt>
                <c:pt idx="336" c:formatCode="#,##0">
                  <c:v>336</c:v>
                </c:pt>
                <c:pt idx="337" c:formatCode="#,##0">
                  <c:v>337</c:v>
                </c:pt>
                <c:pt idx="338" c:formatCode="#,##0">
                  <c:v>338</c:v>
                </c:pt>
                <c:pt idx="339" c:formatCode="#,##0">
                  <c:v>339</c:v>
                </c:pt>
                <c:pt idx="340" c:formatCode="#,##0">
                  <c:v>340</c:v>
                </c:pt>
                <c:pt idx="341" c:formatCode="#,##0">
                  <c:v>341</c:v>
                </c:pt>
                <c:pt idx="342" c:formatCode="#,##0">
                  <c:v>342</c:v>
                </c:pt>
                <c:pt idx="343" c:formatCode="#,##0">
                  <c:v>343</c:v>
                </c:pt>
                <c:pt idx="344" c:formatCode="#,##0">
                  <c:v>344</c:v>
                </c:pt>
                <c:pt idx="345" c:formatCode="#,##0">
                  <c:v>345</c:v>
                </c:pt>
                <c:pt idx="346" c:formatCode="#,##0">
                  <c:v>346</c:v>
                </c:pt>
                <c:pt idx="347" c:formatCode="#,##0">
                  <c:v>347</c:v>
                </c:pt>
                <c:pt idx="348" c:formatCode="#,##0">
                  <c:v>348</c:v>
                </c:pt>
                <c:pt idx="349" c:formatCode="#,##0">
                  <c:v>349</c:v>
                </c:pt>
                <c:pt idx="350" c:formatCode="#,##0">
                  <c:v>350</c:v>
                </c:pt>
                <c:pt idx="351" c:formatCode="#,##0">
                  <c:v>351</c:v>
                </c:pt>
                <c:pt idx="352" c:formatCode="#,##0">
                  <c:v>352</c:v>
                </c:pt>
                <c:pt idx="353" c:formatCode="#,##0">
                  <c:v>353</c:v>
                </c:pt>
                <c:pt idx="354" c:formatCode="#,##0">
                  <c:v>354</c:v>
                </c:pt>
                <c:pt idx="355" c:formatCode="#,##0">
                  <c:v>355</c:v>
                </c:pt>
                <c:pt idx="356" c:formatCode="#,##0">
                  <c:v>356</c:v>
                </c:pt>
                <c:pt idx="357" c:formatCode="#,##0">
                  <c:v>357</c:v>
                </c:pt>
                <c:pt idx="358" c:formatCode="#,##0">
                  <c:v>358</c:v>
                </c:pt>
                <c:pt idx="359" c:formatCode="#,##0">
                  <c:v>359</c:v>
                </c:pt>
                <c:pt idx="360" c:formatCode="#,##0">
                  <c:v>360</c:v>
                </c:pt>
                <c:pt idx="361" c:formatCode="#,##0">
                  <c:v>361</c:v>
                </c:pt>
                <c:pt idx="362" c:formatCode="#,##0">
                  <c:v>362</c:v>
                </c:pt>
                <c:pt idx="363" c:formatCode="#,##0">
                  <c:v>363</c:v>
                </c:pt>
                <c:pt idx="364" c:formatCode="#,##0">
                  <c:v>364</c:v>
                </c:pt>
                <c:pt idx="365" c:formatCode="#,##0">
                  <c:v>365</c:v>
                </c:pt>
              </c:numCache>
            </c:numRef>
          </c:cat>
          <c:val>
            <c:numRef>
              <c:f>'日期-等级经验曲线'!$E$4:$E$369</c:f>
              <c:numCache>
                <c:formatCode>#,##0</c:formatCode>
                <c:ptCount val="366"/>
                <c:pt idx="0">
                  <c:v>0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10</c:v>
                </c:pt>
                <c:pt idx="8">
                  <c:v>10</c:v>
                </c:pt>
                <c:pt idx="9">
                  <c:v>11</c:v>
                </c:pt>
                <c:pt idx="10">
                  <c:v>11</c:v>
                </c:pt>
                <c:pt idx="11">
                  <c:v>12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22</c:v>
                </c:pt>
                <c:pt idx="28">
                  <c:v>23</c:v>
                </c:pt>
                <c:pt idx="29">
                  <c:v>24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26</c:v>
                </c:pt>
                <c:pt idx="34">
                  <c:v>26</c:v>
                </c:pt>
                <c:pt idx="35">
                  <c:v>26</c:v>
                </c:pt>
                <c:pt idx="36">
                  <c:v>27</c:v>
                </c:pt>
                <c:pt idx="37">
                  <c:v>27</c:v>
                </c:pt>
                <c:pt idx="38">
                  <c:v>27</c:v>
                </c:pt>
                <c:pt idx="39">
                  <c:v>28</c:v>
                </c:pt>
                <c:pt idx="40">
                  <c:v>28</c:v>
                </c:pt>
                <c:pt idx="41">
                  <c:v>29</c:v>
                </c:pt>
                <c:pt idx="42">
                  <c:v>29</c:v>
                </c:pt>
                <c:pt idx="43">
                  <c:v>29</c:v>
                </c:pt>
                <c:pt idx="44">
                  <c:v>30</c:v>
                </c:pt>
                <c:pt idx="45">
                  <c:v>30</c:v>
                </c:pt>
                <c:pt idx="46">
                  <c:v>31</c:v>
                </c:pt>
                <c:pt idx="47">
                  <c:v>31</c:v>
                </c:pt>
                <c:pt idx="48">
                  <c:v>31</c:v>
                </c:pt>
                <c:pt idx="49">
                  <c:v>32</c:v>
                </c:pt>
                <c:pt idx="50">
                  <c:v>32</c:v>
                </c:pt>
                <c:pt idx="51">
                  <c:v>33</c:v>
                </c:pt>
                <c:pt idx="52">
                  <c:v>33</c:v>
                </c:pt>
                <c:pt idx="53">
                  <c:v>34</c:v>
                </c:pt>
                <c:pt idx="54">
                  <c:v>34</c:v>
                </c:pt>
                <c:pt idx="55">
                  <c:v>34</c:v>
                </c:pt>
                <c:pt idx="56">
                  <c:v>35</c:v>
                </c:pt>
                <c:pt idx="57">
                  <c:v>35</c:v>
                </c:pt>
                <c:pt idx="58">
                  <c:v>36</c:v>
                </c:pt>
                <c:pt idx="59">
                  <c:v>36</c:v>
                </c:pt>
                <c:pt idx="60">
                  <c:v>37</c:v>
                </c:pt>
                <c:pt idx="61">
                  <c:v>37</c:v>
                </c:pt>
                <c:pt idx="62">
                  <c:v>37</c:v>
                </c:pt>
                <c:pt idx="63">
                  <c:v>37</c:v>
                </c:pt>
                <c:pt idx="64">
                  <c:v>38</c:v>
                </c:pt>
                <c:pt idx="65">
                  <c:v>38</c:v>
                </c:pt>
                <c:pt idx="66">
                  <c:v>38</c:v>
                </c:pt>
                <c:pt idx="67">
                  <c:v>38</c:v>
                </c:pt>
                <c:pt idx="68">
                  <c:v>39</c:v>
                </c:pt>
                <c:pt idx="69">
                  <c:v>39</c:v>
                </c:pt>
                <c:pt idx="70">
                  <c:v>39</c:v>
                </c:pt>
                <c:pt idx="71">
                  <c:v>39</c:v>
                </c:pt>
                <c:pt idx="72">
                  <c:v>40</c:v>
                </c:pt>
                <c:pt idx="73">
                  <c:v>40</c:v>
                </c:pt>
                <c:pt idx="74">
                  <c:v>40</c:v>
                </c:pt>
                <c:pt idx="75">
                  <c:v>40</c:v>
                </c:pt>
                <c:pt idx="76">
                  <c:v>41</c:v>
                </c:pt>
                <c:pt idx="77">
                  <c:v>41</c:v>
                </c:pt>
                <c:pt idx="78">
                  <c:v>41</c:v>
                </c:pt>
                <c:pt idx="79">
                  <c:v>41</c:v>
                </c:pt>
                <c:pt idx="80">
                  <c:v>42</c:v>
                </c:pt>
                <c:pt idx="81">
                  <c:v>42</c:v>
                </c:pt>
                <c:pt idx="82">
                  <c:v>42</c:v>
                </c:pt>
                <c:pt idx="83">
                  <c:v>43</c:v>
                </c:pt>
                <c:pt idx="84">
                  <c:v>43</c:v>
                </c:pt>
                <c:pt idx="85">
                  <c:v>43</c:v>
                </c:pt>
                <c:pt idx="86">
                  <c:v>43</c:v>
                </c:pt>
                <c:pt idx="87">
                  <c:v>44</c:v>
                </c:pt>
                <c:pt idx="88">
                  <c:v>44</c:v>
                </c:pt>
                <c:pt idx="89">
                  <c:v>44</c:v>
                </c:pt>
                <c:pt idx="90">
                  <c:v>45</c:v>
                </c:pt>
                <c:pt idx="91">
                  <c:v>45</c:v>
                </c:pt>
                <c:pt idx="92">
                  <c:v>45</c:v>
                </c:pt>
                <c:pt idx="93">
                  <c:v>45</c:v>
                </c:pt>
                <c:pt idx="94">
                  <c:v>45</c:v>
                </c:pt>
                <c:pt idx="95">
                  <c:v>46</c:v>
                </c:pt>
                <c:pt idx="96">
                  <c:v>46</c:v>
                </c:pt>
                <c:pt idx="97">
                  <c:v>46</c:v>
                </c:pt>
                <c:pt idx="98">
                  <c:v>46</c:v>
                </c:pt>
                <c:pt idx="99">
                  <c:v>46</c:v>
                </c:pt>
                <c:pt idx="100">
                  <c:v>47</c:v>
                </c:pt>
                <c:pt idx="101">
                  <c:v>47</c:v>
                </c:pt>
                <c:pt idx="102">
                  <c:v>47</c:v>
                </c:pt>
                <c:pt idx="103">
                  <c:v>47</c:v>
                </c:pt>
                <c:pt idx="104">
                  <c:v>47</c:v>
                </c:pt>
                <c:pt idx="105">
                  <c:v>48</c:v>
                </c:pt>
                <c:pt idx="106">
                  <c:v>48</c:v>
                </c:pt>
                <c:pt idx="107">
                  <c:v>48</c:v>
                </c:pt>
                <c:pt idx="108">
                  <c:v>48</c:v>
                </c:pt>
                <c:pt idx="109">
                  <c:v>48</c:v>
                </c:pt>
                <c:pt idx="110">
                  <c:v>49</c:v>
                </c:pt>
                <c:pt idx="111">
                  <c:v>49</c:v>
                </c:pt>
                <c:pt idx="112">
                  <c:v>49</c:v>
                </c:pt>
                <c:pt idx="113">
                  <c:v>49</c:v>
                </c:pt>
                <c:pt idx="114">
                  <c:v>49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51</c:v>
                </c:pt>
                <c:pt idx="120">
                  <c:v>51</c:v>
                </c:pt>
                <c:pt idx="121">
                  <c:v>51</c:v>
                </c:pt>
                <c:pt idx="122">
                  <c:v>51</c:v>
                </c:pt>
                <c:pt idx="123">
                  <c:v>51</c:v>
                </c:pt>
                <c:pt idx="124">
                  <c:v>52</c:v>
                </c:pt>
                <c:pt idx="125">
                  <c:v>52</c:v>
                </c:pt>
                <c:pt idx="126">
                  <c:v>52</c:v>
                </c:pt>
                <c:pt idx="127">
                  <c:v>52</c:v>
                </c:pt>
                <c:pt idx="128">
                  <c:v>52</c:v>
                </c:pt>
                <c:pt idx="129">
                  <c:v>53</c:v>
                </c:pt>
                <c:pt idx="130">
                  <c:v>53</c:v>
                </c:pt>
                <c:pt idx="131">
                  <c:v>53</c:v>
                </c:pt>
                <c:pt idx="132">
                  <c:v>53</c:v>
                </c:pt>
                <c:pt idx="133">
                  <c:v>54</c:v>
                </c:pt>
                <c:pt idx="134">
                  <c:v>54</c:v>
                </c:pt>
                <c:pt idx="135">
                  <c:v>54</c:v>
                </c:pt>
                <c:pt idx="136">
                  <c:v>54</c:v>
                </c:pt>
                <c:pt idx="137">
                  <c:v>54</c:v>
                </c:pt>
                <c:pt idx="138">
                  <c:v>55</c:v>
                </c:pt>
                <c:pt idx="139">
                  <c:v>55</c:v>
                </c:pt>
                <c:pt idx="140">
                  <c:v>55</c:v>
                </c:pt>
                <c:pt idx="141">
                  <c:v>55</c:v>
                </c:pt>
                <c:pt idx="142">
                  <c:v>56</c:v>
                </c:pt>
                <c:pt idx="143">
                  <c:v>56</c:v>
                </c:pt>
                <c:pt idx="144">
                  <c:v>56</c:v>
                </c:pt>
                <c:pt idx="145">
                  <c:v>56</c:v>
                </c:pt>
                <c:pt idx="146">
                  <c:v>56</c:v>
                </c:pt>
                <c:pt idx="147">
                  <c:v>57</c:v>
                </c:pt>
                <c:pt idx="148">
                  <c:v>57</c:v>
                </c:pt>
                <c:pt idx="149">
                  <c:v>57</c:v>
                </c:pt>
                <c:pt idx="150">
                  <c:v>57</c:v>
                </c:pt>
                <c:pt idx="151">
                  <c:v>58</c:v>
                </c:pt>
                <c:pt idx="152">
                  <c:v>58</c:v>
                </c:pt>
                <c:pt idx="153">
                  <c:v>58</c:v>
                </c:pt>
                <c:pt idx="154">
                  <c:v>58</c:v>
                </c:pt>
                <c:pt idx="155">
                  <c:v>59</c:v>
                </c:pt>
                <c:pt idx="156">
                  <c:v>59</c:v>
                </c:pt>
                <c:pt idx="157">
                  <c:v>59</c:v>
                </c:pt>
                <c:pt idx="158">
                  <c:v>59</c:v>
                </c:pt>
                <c:pt idx="159">
                  <c:v>59</c:v>
                </c:pt>
                <c:pt idx="160">
                  <c:v>60</c:v>
                </c:pt>
                <c:pt idx="161">
                  <c:v>60</c:v>
                </c:pt>
                <c:pt idx="162">
                  <c:v>60</c:v>
                </c:pt>
                <c:pt idx="163">
                  <c:v>60</c:v>
                </c:pt>
                <c:pt idx="164">
                  <c:v>61</c:v>
                </c:pt>
                <c:pt idx="165">
                  <c:v>61</c:v>
                </c:pt>
                <c:pt idx="166">
                  <c:v>61</c:v>
                </c:pt>
                <c:pt idx="167">
                  <c:v>61</c:v>
                </c:pt>
                <c:pt idx="168">
                  <c:v>62</c:v>
                </c:pt>
                <c:pt idx="169">
                  <c:v>62</c:v>
                </c:pt>
                <c:pt idx="170">
                  <c:v>62</c:v>
                </c:pt>
                <c:pt idx="171">
                  <c:v>62</c:v>
                </c:pt>
                <c:pt idx="172">
                  <c:v>63</c:v>
                </c:pt>
                <c:pt idx="173">
                  <c:v>63</c:v>
                </c:pt>
                <c:pt idx="174">
                  <c:v>63</c:v>
                </c:pt>
                <c:pt idx="175">
                  <c:v>63</c:v>
                </c:pt>
                <c:pt idx="176">
                  <c:v>64</c:v>
                </c:pt>
                <c:pt idx="177">
                  <c:v>64</c:v>
                </c:pt>
                <c:pt idx="178">
                  <c:v>64</c:v>
                </c:pt>
                <c:pt idx="179">
                  <c:v>64</c:v>
                </c:pt>
                <c:pt idx="180">
                  <c:v>65</c:v>
                </c:pt>
                <c:pt idx="181">
                  <c:v>65</c:v>
                </c:pt>
                <c:pt idx="182">
                  <c:v>65</c:v>
                </c:pt>
                <c:pt idx="183">
                  <c:v>65</c:v>
                </c:pt>
                <c:pt idx="184">
                  <c:v>65</c:v>
                </c:pt>
                <c:pt idx="185">
                  <c:v>65</c:v>
                </c:pt>
                <c:pt idx="186">
                  <c:v>66</c:v>
                </c:pt>
                <c:pt idx="187">
                  <c:v>66</c:v>
                </c:pt>
                <c:pt idx="188">
                  <c:v>66</c:v>
                </c:pt>
                <c:pt idx="189">
                  <c:v>66</c:v>
                </c:pt>
                <c:pt idx="190">
                  <c:v>66</c:v>
                </c:pt>
                <c:pt idx="191">
                  <c:v>66</c:v>
                </c:pt>
                <c:pt idx="192">
                  <c:v>67</c:v>
                </c:pt>
                <c:pt idx="193">
                  <c:v>67</c:v>
                </c:pt>
                <c:pt idx="194">
                  <c:v>67</c:v>
                </c:pt>
                <c:pt idx="195">
                  <c:v>67</c:v>
                </c:pt>
                <c:pt idx="196">
                  <c:v>67</c:v>
                </c:pt>
                <c:pt idx="197">
                  <c:v>67</c:v>
                </c:pt>
                <c:pt idx="198">
                  <c:v>68</c:v>
                </c:pt>
                <c:pt idx="199">
                  <c:v>68</c:v>
                </c:pt>
                <c:pt idx="200">
                  <c:v>68</c:v>
                </c:pt>
                <c:pt idx="201">
                  <c:v>68</c:v>
                </c:pt>
                <c:pt idx="202">
                  <c:v>68</c:v>
                </c:pt>
                <c:pt idx="203">
                  <c:v>68</c:v>
                </c:pt>
                <c:pt idx="204">
                  <c:v>69</c:v>
                </c:pt>
                <c:pt idx="205">
                  <c:v>69</c:v>
                </c:pt>
                <c:pt idx="206">
                  <c:v>69</c:v>
                </c:pt>
                <c:pt idx="207">
                  <c:v>69</c:v>
                </c:pt>
                <c:pt idx="208">
                  <c:v>69</c:v>
                </c:pt>
                <c:pt idx="209">
                  <c:v>69</c:v>
                </c:pt>
                <c:pt idx="210">
                  <c:v>70</c:v>
                </c:pt>
                <c:pt idx="211">
                  <c:v>70</c:v>
                </c:pt>
                <c:pt idx="212">
                  <c:v>70</c:v>
                </c:pt>
                <c:pt idx="213">
                  <c:v>70</c:v>
                </c:pt>
                <c:pt idx="214">
                  <c:v>70</c:v>
                </c:pt>
                <c:pt idx="215">
                  <c:v>71</c:v>
                </c:pt>
                <c:pt idx="216">
                  <c:v>71</c:v>
                </c:pt>
                <c:pt idx="217">
                  <c:v>71</c:v>
                </c:pt>
                <c:pt idx="218">
                  <c:v>71</c:v>
                </c:pt>
                <c:pt idx="219">
                  <c:v>71</c:v>
                </c:pt>
                <c:pt idx="220">
                  <c:v>71</c:v>
                </c:pt>
                <c:pt idx="221">
                  <c:v>72</c:v>
                </c:pt>
                <c:pt idx="222">
                  <c:v>72</c:v>
                </c:pt>
                <c:pt idx="223">
                  <c:v>72</c:v>
                </c:pt>
                <c:pt idx="224">
                  <c:v>72</c:v>
                </c:pt>
                <c:pt idx="225">
                  <c:v>72</c:v>
                </c:pt>
                <c:pt idx="226">
                  <c:v>73</c:v>
                </c:pt>
                <c:pt idx="227">
                  <c:v>73</c:v>
                </c:pt>
                <c:pt idx="228">
                  <c:v>73</c:v>
                </c:pt>
                <c:pt idx="229">
                  <c:v>73</c:v>
                </c:pt>
                <c:pt idx="230">
                  <c:v>73</c:v>
                </c:pt>
                <c:pt idx="231">
                  <c:v>73</c:v>
                </c:pt>
                <c:pt idx="232">
                  <c:v>74</c:v>
                </c:pt>
                <c:pt idx="233">
                  <c:v>74</c:v>
                </c:pt>
                <c:pt idx="234">
                  <c:v>74</c:v>
                </c:pt>
                <c:pt idx="235">
                  <c:v>74</c:v>
                </c:pt>
                <c:pt idx="236">
                  <c:v>74</c:v>
                </c:pt>
                <c:pt idx="237">
                  <c:v>74</c:v>
                </c:pt>
                <c:pt idx="238">
                  <c:v>75</c:v>
                </c:pt>
                <c:pt idx="239">
                  <c:v>75</c:v>
                </c:pt>
                <c:pt idx="240">
                  <c:v>75</c:v>
                </c:pt>
                <c:pt idx="241">
                  <c:v>75</c:v>
                </c:pt>
                <c:pt idx="242">
                  <c:v>75</c:v>
                </c:pt>
                <c:pt idx="243">
                  <c:v>76</c:v>
                </c:pt>
                <c:pt idx="244">
                  <c:v>76</c:v>
                </c:pt>
                <c:pt idx="245">
                  <c:v>76</c:v>
                </c:pt>
                <c:pt idx="246">
                  <c:v>76</c:v>
                </c:pt>
                <c:pt idx="247">
                  <c:v>76</c:v>
                </c:pt>
                <c:pt idx="248">
                  <c:v>76</c:v>
                </c:pt>
                <c:pt idx="249">
                  <c:v>77</c:v>
                </c:pt>
                <c:pt idx="250">
                  <c:v>77</c:v>
                </c:pt>
                <c:pt idx="251">
                  <c:v>77</c:v>
                </c:pt>
                <c:pt idx="252">
                  <c:v>77</c:v>
                </c:pt>
                <c:pt idx="253">
                  <c:v>77</c:v>
                </c:pt>
                <c:pt idx="254">
                  <c:v>78</c:v>
                </c:pt>
                <c:pt idx="255">
                  <c:v>78</c:v>
                </c:pt>
                <c:pt idx="256">
                  <c:v>78</c:v>
                </c:pt>
                <c:pt idx="257">
                  <c:v>78</c:v>
                </c:pt>
                <c:pt idx="258">
                  <c:v>78</c:v>
                </c:pt>
                <c:pt idx="259">
                  <c:v>79</c:v>
                </c:pt>
                <c:pt idx="260">
                  <c:v>79</c:v>
                </c:pt>
                <c:pt idx="261">
                  <c:v>79</c:v>
                </c:pt>
                <c:pt idx="262">
                  <c:v>79</c:v>
                </c:pt>
                <c:pt idx="263">
                  <c:v>79</c:v>
                </c:pt>
                <c:pt idx="264">
                  <c:v>79</c:v>
                </c:pt>
                <c:pt idx="265">
                  <c:v>80</c:v>
                </c:pt>
                <c:pt idx="266">
                  <c:v>80</c:v>
                </c:pt>
                <c:pt idx="267">
                  <c:v>80</c:v>
                </c:pt>
                <c:pt idx="268">
                  <c:v>80</c:v>
                </c:pt>
                <c:pt idx="269">
                  <c:v>80</c:v>
                </c:pt>
                <c:pt idx="270">
                  <c:v>81</c:v>
                </c:pt>
                <c:pt idx="271">
                  <c:v>81</c:v>
                </c:pt>
                <c:pt idx="272">
                  <c:v>81</c:v>
                </c:pt>
                <c:pt idx="273">
                  <c:v>81</c:v>
                </c:pt>
                <c:pt idx="274">
                  <c:v>81</c:v>
                </c:pt>
                <c:pt idx="275">
                  <c:v>82</c:v>
                </c:pt>
                <c:pt idx="276">
                  <c:v>82</c:v>
                </c:pt>
                <c:pt idx="277">
                  <c:v>82</c:v>
                </c:pt>
                <c:pt idx="278">
                  <c:v>82</c:v>
                </c:pt>
                <c:pt idx="279">
                  <c:v>82</c:v>
                </c:pt>
                <c:pt idx="280">
                  <c:v>83</c:v>
                </c:pt>
                <c:pt idx="281">
                  <c:v>83</c:v>
                </c:pt>
                <c:pt idx="282">
                  <c:v>83</c:v>
                </c:pt>
                <c:pt idx="283">
                  <c:v>83</c:v>
                </c:pt>
                <c:pt idx="284">
                  <c:v>83</c:v>
                </c:pt>
                <c:pt idx="285">
                  <c:v>83</c:v>
                </c:pt>
                <c:pt idx="286">
                  <c:v>84</c:v>
                </c:pt>
                <c:pt idx="287">
                  <c:v>84</c:v>
                </c:pt>
                <c:pt idx="288">
                  <c:v>84</c:v>
                </c:pt>
                <c:pt idx="289">
                  <c:v>84</c:v>
                </c:pt>
                <c:pt idx="290">
                  <c:v>84</c:v>
                </c:pt>
                <c:pt idx="291">
                  <c:v>85</c:v>
                </c:pt>
                <c:pt idx="292">
                  <c:v>85</c:v>
                </c:pt>
                <c:pt idx="293">
                  <c:v>85</c:v>
                </c:pt>
                <c:pt idx="294">
                  <c:v>85</c:v>
                </c:pt>
                <c:pt idx="295">
                  <c:v>85</c:v>
                </c:pt>
                <c:pt idx="296">
                  <c:v>86</c:v>
                </c:pt>
                <c:pt idx="297">
                  <c:v>86</c:v>
                </c:pt>
                <c:pt idx="298">
                  <c:v>86</c:v>
                </c:pt>
                <c:pt idx="299">
                  <c:v>86</c:v>
                </c:pt>
                <c:pt idx="300">
                  <c:v>86</c:v>
                </c:pt>
                <c:pt idx="301">
                  <c:v>87</c:v>
                </c:pt>
                <c:pt idx="302">
                  <c:v>87</c:v>
                </c:pt>
                <c:pt idx="303">
                  <c:v>87</c:v>
                </c:pt>
                <c:pt idx="304">
                  <c:v>87</c:v>
                </c:pt>
                <c:pt idx="305">
                  <c:v>87</c:v>
                </c:pt>
                <c:pt idx="306">
                  <c:v>88</c:v>
                </c:pt>
                <c:pt idx="307">
                  <c:v>88</c:v>
                </c:pt>
                <c:pt idx="308">
                  <c:v>88</c:v>
                </c:pt>
                <c:pt idx="309">
                  <c:v>88</c:v>
                </c:pt>
                <c:pt idx="310">
                  <c:v>88</c:v>
                </c:pt>
                <c:pt idx="311">
                  <c:v>89</c:v>
                </c:pt>
                <c:pt idx="312">
                  <c:v>89</c:v>
                </c:pt>
                <c:pt idx="313">
                  <c:v>89</c:v>
                </c:pt>
                <c:pt idx="314">
                  <c:v>89</c:v>
                </c:pt>
                <c:pt idx="315">
                  <c:v>89</c:v>
                </c:pt>
                <c:pt idx="316">
                  <c:v>90</c:v>
                </c:pt>
                <c:pt idx="317">
                  <c:v>90</c:v>
                </c:pt>
                <c:pt idx="318">
                  <c:v>90</c:v>
                </c:pt>
                <c:pt idx="319">
                  <c:v>90</c:v>
                </c:pt>
                <c:pt idx="320">
                  <c:v>90</c:v>
                </c:pt>
                <c:pt idx="321">
                  <c:v>91</c:v>
                </c:pt>
                <c:pt idx="322">
                  <c:v>91</c:v>
                </c:pt>
                <c:pt idx="323">
                  <c:v>91</c:v>
                </c:pt>
                <c:pt idx="324">
                  <c:v>91</c:v>
                </c:pt>
                <c:pt idx="325">
                  <c:v>91</c:v>
                </c:pt>
                <c:pt idx="326">
                  <c:v>92</c:v>
                </c:pt>
                <c:pt idx="327">
                  <c:v>92</c:v>
                </c:pt>
                <c:pt idx="328">
                  <c:v>92</c:v>
                </c:pt>
                <c:pt idx="329">
                  <c:v>92</c:v>
                </c:pt>
                <c:pt idx="330">
                  <c:v>92</c:v>
                </c:pt>
                <c:pt idx="331">
                  <c:v>93</c:v>
                </c:pt>
                <c:pt idx="332">
                  <c:v>93</c:v>
                </c:pt>
                <c:pt idx="333">
                  <c:v>93</c:v>
                </c:pt>
                <c:pt idx="334">
                  <c:v>93</c:v>
                </c:pt>
                <c:pt idx="335">
                  <c:v>93</c:v>
                </c:pt>
                <c:pt idx="336">
                  <c:v>94</c:v>
                </c:pt>
                <c:pt idx="337">
                  <c:v>94</c:v>
                </c:pt>
                <c:pt idx="338">
                  <c:v>94</c:v>
                </c:pt>
                <c:pt idx="339">
                  <c:v>94</c:v>
                </c:pt>
                <c:pt idx="340">
                  <c:v>94</c:v>
                </c:pt>
                <c:pt idx="341">
                  <c:v>95</c:v>
                </c:pt>
                <c:pt idx="342">
                  <c:v>95</c:v>
                </c:pt>
                <c:pt idx="343">
                  <c:v>95</c:v>
                </c:pt>
                <c:pt idx="344">
                  <c:v>95</c:v>
                </c:pt>
                <c:pt idx="345">
                  <c:v>95</c:v>
                </c:pt>
                <c:pt idx="346">
                  <c:v>96</c:v>
                </c:pt>
                <c:pt idx="347">
                  <c:v>96</c:v>
                </c:pt>
                <c:pt idx="348">
                  <c:v>96</c:v>
                </c:pt>
                <c:pt idx="349">
                  <c:v>96</c:v>
                </c:pt>
                <c:pt idx="350">
                  <c:v>96</c:v>
                </c:pt>
                <c:pt idx="351">
                  <c:v>97</c:v>
                </c:pt>
                <c:pt idx="352">
                  <c:v>97</c:v>
                </c:pt>
                <c:pt idx="353">
                  <c:v>97</c:v>
                </c:pt>
                <c:pt idx="354">
                  <c:v>97</c:v>
                </c:pt>
                <c:pt idx="355">
                  <c:v>98</c:v>
                </c:pt>
                <c:pt idx="356">
                  <c:v>98</c:v>
                </c:pt>
                <c:pt idx="357">
                  <c:v>98</c:v>
                </c:pt>
                <c:pt idx="358">
                  <c:v>98</c:v>
                </c:pt>
                <c:pt idx="359">
                  <c:v>98</c:v>
                </c:pt>
                <c:pt idx="360">
                  <c:v>99</c:v>
                </c:pt>
                <c:pt idx="361">
                  <c:v>99</c:v>
                </c:pt>
                <c:pt idx="362">
                  <c:v>99</c:v>
                </c:pt>
                <c:pt idx="363">
                  <c:v>99</c:v>
                </c:pt>
                <c:pt idx="364">
                  <c:v>99</c:v>
                </c:pt>
                <c:pt idx="365">
                  <c:v>100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lineChart>
        <c:grouping val="standard"/>
        <c:varyColors val="0"/>
        <c:ser>
          <c:idx val="1"/>
          <c:order val="1"/>
          <c:tx>
            <c:strRef>
              <c:f>'日期-等级经验曲线'!$D$3</c:f>
              <c:strCache>
                <c:ptCount val="1"/>
                <c:pt idx="0">
                  <c:v>累计经验</c:v>
                </c:pt>
              </c:strCache>
            </c:strRef>
          </c:tx>
          <c:spPr>
            <a:ln w="63500" cap="rnd">
              <a:solidFill>
                <a:schemeClr val="accent3">
                  <a:tint val="76667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'日期-等级经验曲线'!$B$4:$B$369</c:f>
              <c:numCache>
                <c:formatCode>#,##0</c:formatCode>
                <c:ptCount val="366"/>
                <c:pt idx="0" c:formatCode="#,##0">
                  <c:v>0</c:v>
                </c:pt>
                <c:pt idx="1" c:formatCode="#,##0">
                  <c:v>1</c:v>
                </c:pt>
                <c:pt idx="2" c:formatCode="#,##0">
                  <c:v>2</c:v>
                </c:pt>
                <c:pt idx="3" c:formatCode="#,##0">
                  <c:v>3</c:v>
                </c:pt>
                <c:pt idx="4" c:formatCode="#,##0">
                  <c:v>4</c:v>
                </c:pt>
                <c:pt idx="5" c:formatCode="#,##0">
                  <c:v>5</c:v>
                </c:pt>
                <c:pt idx="6" c:formatCode="#,##0">
                  <c:v>6</c:v>
                </c:pt>
                <c:pt idx="7" c:formatCode="#,##0">
                  <c:v>7</c:v>
                </c:pt>
                <c:pt idx="8" c:formatCode="#,##0">
                  <c:v>8</c:v>
                </c:pt>
                <c:pt idx="9" c:formatCode="#,##0">
                  <c:v>9</c:v>
                </c:pt>
                <c:pt idx="10" c:formatCode="#,##0">
                  <c:v>10</c:v>
                </c:pt>
                <c:pt idx="11" c:formatCode="#,##0">
                  <c:v>11</c:v>
                </c:pt>
                <c:pt idx="12" c:formatCode="#,##0">
                  <c:v>12</c:v>
                </c:pt>
                <c:pt idx="13" c:formatCode="#,##0">
                  <c:v>13</c:v>
                </c:pt>
                <c:pt idx="14" c:formatCode="#,##0">
                  <c:v>14</c:v>
                </c:pt>
                <c:pt idx="15" c:formatCode="#,##0">
                  <c:v>15</c:v>
                </c:pt>
                <c:pt idx="16" c:formatCode="#,##0">
                  <c:v>16</c:v>
                </c:pt>
                <c:pt idx="17" c:formatCode="#,##0">
                  <c:v>17</c:v>
                </c:pt>
                <c:pt idx="18" c:formatCode="#,##0">
                  <c:v>18</c:v>
                </c:pt>
                <c:pt idx="19" c:formatCode="#,##0">
                  <c:v>19</c:v>
                </c:pt>
                <c:pt idx="20" c:formatCode="#,##0">
                  <c:v>20</c:v>
                </c:pt>
                <c:pt idx="21" c:formatCode="#,##0">
                  <c:v>21</c:v>
                </c:pt>
                <c:pt idx="22" c:formatCode="#,##0">
                  <c:v>22</c:v>
                </c:pt>
                <c:pt idx="23" c:formatCode="#,##0">
                  <c:v>23</c:v>
                </c:pt>
                <c:pt idx="24" c:formatCode="#,##0">
                  <c:v>24</c:v>
                </c:pt>
                <c:pt idx="25" c:formatCode="#,##0">
                  <c:v>25</c:v>
                </c:pt>
                <c:pt idx="26" c:formatCode="#,##0">
                  <c:v>26</c:v>
                </c:pt>
                <c:pt idx="27" c:formatCode="#,##0">
                  <c:v>27</c:v>
                </c:pt>
                <c:pt idx="28" c:formatCode="#,##0">
                  <c:v>28</c:v>
                </c:pt>
                <c:pt idx="29" c:formatCode="#,##0">
                  <c:v>29</c:v>
                </c:pt>
                <c:pt idx="30" c:formatCode="#,##0">
                  <c:v>30</c:v>
                </c:pt>
                <c:pt idx="31" c:formatCode="#,##0">
                  <c:v>31</c:v>
                </c:pt>
                <c:pt idx="32" c:formatCode="#,##0">
                  <c:v>32</c:v>
                </c:pt>
                <c:pt idx="33" c:formatCode="#,##0">
                  <c:v>33</c:v>
                </c:pt>
                <c:pt idx="34" c:formatCode="#,##0">
                  <c:v>34</c:v>
                </c:pt>
                <c:pt idx="35" c:formatCode="#,##0">
                  <c:v>35</c:v>
                </c:pt>
                <c:pt idx="36" c:formatCode="#,##0">
                  <c:v>36</c:v>
                </c:pt>
                <c:pt idx="37" c:formatCode="#,##0">
                  <c:v>37</c:v>
                </c:pt>
                <c:pt idx="38" c:formatCode="#,##0">
                  <c:v>38</c:v>
                </c:pt>
                <c:pt idx="39" c:formatCode="#,##0">
                  <c:v>39</c:v>
                </c:pt>
                <c:pt idx="40" c:formatCode="#,##0">
                  <c:v>40</c:v>
                </c:pt>
                <c:pt idx="41" c:formatCode="#,##0">
                  <c:v>41</c:v>
                </c:pt>
                <c:pt idx="42" c:formatCode="#,##0">
                  <c:v>42</c:v>
                </c:pt>
                <c:pt idx="43" c:formatCode="#,##0">
                  <c:v>43</c:v>
                </c:pt>
                <c:pt idx="44" c:formatCode="#,##0">
                  <c:v>44</c:v>
                </c:pt>
                <c:pt idx="45" c:formatCode="#,##0">
                  <c:v>45</c:v>
                </c:pt>
                <c:pt idx="46" c:formatCode="#,##0">
                  <c:v>46</c:v>
                </c:pt>
                <c:pt idx="47" c:formatCode="#,##0">
                  <c:v>47</c:v>
                </c:pt>
                <c:pt idx="48" c:formatCode="#,##0">
                  <c:v>48</c:v>
                </c:pt>
                <c:pt idx="49" c:formatCode="#,##0">
                  <c:v>49</c:v>
                </c:pt>
                <c:pt idx="50" c:formatCode="#,##0">
                  <c:v>50</c:v>
                </c:pt>
                <c:pt idx="51" c:formatCode="#,##0">
                  <c:v>51</c:v>
                </c:pt>
                <c:pt idx="52" c:formatCode="#,##0">
                  <c:v>52</c:v>
                </c:pt>
                <c:pt idx="53" c:formatCode="#,##0">
                  <c:v>53</c:v>
                </c:pt>
                <c:pt idx="54" c:formatCode="#,##0">
                  <c:v>54</c:v>
                </c:pt>
                <c:pt idx="55" c:formatCode="#,##0">
                  <c:v>55</c:v>
                </c:pt>
                <c:pt idx="56" c:formatCode="#,##0">
                  <c:v>56</c:v>
                </c:pt>
                <c:pt idx="57" c:formatCode="#,##0">
                  <c:v>57</c:v>
                </c:pt>
                <c:pt idx="58" c:formatCode="#,##0">
                  <c:v>58</c:v>
                </c:pt>
                <c:pt idx="59" c:formatCode="#,##0">
                  <c:v>59</c:v>
                </c:pt>
                <c:pt idx="60" c:formatCode="#,##0">
                  <c:v>60</c:v>
                </c:pt>
                <c:pt idx="61" c:formatCode="#,##0">
                  <c:v>61</c:v>
                </c:pt>
                <c:pt idx="62" c:formatCode="#,##0">
                  <c:v>62</c:v>
                </c:pt>
                <c:pt idx="63" c:formatCode="#,##0">
                  <c:v>63</c:v>
                </c:pt>
                <c:pt idx="64" c:formatCode="#,##0">
                  <c:v>64</c:v>
                </c:pt>
                <c:pt idx="65" c:formatCode="#,##0">
                  <c:v>65</c:v>
                </c:pt>
                <c:pt idx="66" c:formatCode="#,##0">
                  <c:v>66</c:v>
                </c:pt>
                <c:pt idx="67" c:formatCode="#,##0">
                  <c:v>67</c:v>
                </c:pt>
                <c:pt idx="68" c:formatCode="#,##0">
                  <c:v>68</c:v>
                </c:pt>
                <c:pt idx="69" c:formatCode="#,##0">
                  <c:v>69</c:v>
                </c:pt>
                <c:pt idx="70" c:formatCode="#,##0">
                  <c:v>70</c:v>
                </c:pt>
                <c:pt idx="71" c:formatCode="#,##0">
                  <c:v>71</c:v>
                </c:pt>
                <c:pt idx="72" c:formatCode="#,##0">
                  <c:v>72</c:v>
                </c:pt>
                <c:pt idx="73" c:formatCode="#,##0">
                  <c:v>73</c:v>
                </c:pt>
                <c:pt idx="74" c:formatCode="#,##0">
                  <c:v>74</c:v>
                </c:pt>
                <c:pt idx="75" c:formatCode="#,##0">
                  <c:v>75</c:v>
                </c:pt>
                <c:pt idx="76" c:formatCode="#,##0">
                  <c:v>76</c:v>
                </c:pt>
                <c:pt idx="77" c:formatCode="#,##0">
                  <c:v>77</c:v>
                </c:pt>
                <c:pt idx="78" c:formatCode="#,##0">
                  <c:v>78</c:v>
                </c:pt>
                <c:pt idx="79" c:formatCode="#,##0">
                  <c:v>79</c:v>
                </c:pt>
                <c:pt idx="80" c:formatCode="#,##0">
                  <c:v>80</c:v>
                </c:pt>
                <c:pt idx="81" c:formatCode="#,##0">
                  <c:v>81</c:v>
                </c:pt>
                <c:pt idx="82" c:formatCode="#,##0">
                  <c:v>82</c:v>
                </c:pt>
                <c:pt idx="83" c:formatCode="#,##0">
                  <c:v>83</c:v>
                </c:pt>
                <c:pt idx="84" c:formatCode="#,##0">
                  <c:v>84</c:v>
                </c:pt>
                <c:pt idx="85" c:formatCode="#,##0">
                  <c:v>85</c:v>
                </c:pt>
                <c:pt idx="86" c:formatCode="#,##0">
                  <c:v>86</c:v>
                </c:pt>
                <c:pt idx="87" c:formatCode="#,##0">
                  <c:v>87</c:v>
                </c:pt>
                <c:pt idx="88" c:formatCode="#,##0">
                  <c:v>88</c:v>
                </c:pt>
                <c:pt idx="89" c:formatCode="#,##0">
                  <c:v>89</c:v>
                </c:pt>
                <c:pt idx="90" c:formatCode="#,##0">
                  <c:v>90</c:v>
                </c:pt>
                <c:pt idx="91" c:formatCode="#,##0">
                  <c:v>91</c:v>
                </c:pt>
                <c:pt idx="92" c:formatCode="#,##0">
                  <c:v>92</c:v>
                </c:pt>
                <c:pt idx="93" c:formatCode="#,##0">
                  <c:v>93</c:v>
                </c:pt>
                <c:pt idx="94" c:formatCode="#,##0">
                  <c:v>94</c:v>
                </c:pt>
                <c:pt idx="95" c:formatCode="#,##0">
                  <c:v>95</c:v>
                </c:pt>
                <c:pt idx="96" c:formatCode="#,##0">
                  <c:v>96</c:v>
                </c:pt>
                <c:pt idx="97" c:formatCode="#,##0">
                  <c:v>97</c:v>
                </c:pt>
                <c:pt idx="98" c:formatCode="#,##0">
                  <c:v>98</c:v>
                </c:pt>
                <c:pt idx="99" c:formatCode="#,##0">
                  <c:v>99</c:v>
                </c:pt>
                <c:pt idx="100" c:formatCode="#,##0">
                  <c:v>100</c:v>
                </c:pt>
                <c:pt idx="101" c:formatCode="#,##0">
                  <c:v>101</c:v>
                </c:pt>
                <c:pt idx="102" c:formatCode="#,##0">
                  <c:v>102</c:v>
                </c:pt>
                <c:pt idx="103" c:formatCode="#,##0">
                  <c:v>103</c:v>
                </c:pt>
                <c:pt idx="104" c:formatCode="#,##0">
                  <c:v>104</c:v>
                </c:pt>
                <c:pt idx="105" c:formatCode="#,##0">
                  <c:v>105</c:v>
                </c:pt>
                <c:pt idx="106" c:formatCode="#,##0">
                  <c:v>106</c:v>
                </c:pt>
                <c:pt idx="107" c:formatCode="#,##0">
                  <c:v>107</c:v>
                </c:pt>
                <c:pt idx="108" c:formatCode="#,##0">
                  <c:v>108</c:v>
                </c:pt>
                <c:pt idx="109" c:formatCode="#,##0">
                  <c:v>109</c:v>
                </c:pt>
                <c:pt idx="110" c:formatCode="#,##0">
                  <c:v>110</c:v>
                </c:pt>
                <c:pt idx="111" c:formatCode="#,##0">
                  <c:v>111</c:v>
                </c:pt>
                <c:pt idx="112" c:formatCode="#,##0">
                  <c:v>112</c:v>
                </c:pt>
                <c:pt idx="113" c:formatCode="#,##0">
                  <c:v>113</c:v>
                </c:pt>
                <c:pt idx="114" c:formatCode="#,##0">
                  <c:v>114</c:v>
                </c:pt>
                <c:pt idx="115" c:formatCode="#,##0">
                  <c:v>115</c:v>
                </c:pt>
                <c:pt idx="116" c:formatCode="#,##0">
                  <c:v>116</c:v>
                </c:pt>
                <c:pt idx="117" c:formatCode="#,##0">
                  <c:v>117</c:v>
                </c:pt>
                <c:pt idx="118" c:formatCode="#,##0">
                  <c:v>118</c:v>
                </c:pt>
                <c:pt idx="119" c:formatCode="#,##0">
                  <c:v>119</c:v>
                </c:pt>
                <c:pt idx="120" c:formatCode="#,##0">
                  <c:v>120</c:v>
                </c:pt>
                <c:pt idx="121" c:formatCode="#,##0">
                  <c:v>121</c:v>
                </c:pt>
                <c:pt idx="122" c:formatCode="#,##0">
                  <c:v>122</c:v>
                </c:pt>
                <c:pt idx="123" c:formatCode="#,##0">
                  <c:v>123</c:v>
                </c:pt>
                <c:pt idx="124" c:formatCode="#,##0">
                  <c:v>124</c:v>
                </c:pt>
                <c:pt idx="125" c:formatCode="#,##0">
                  <c:v>125</c:v>
                </c:pt>
                <c:pt idx="126" c:formatCode="#,##0">
                  <c:v>126</c:v>
                </c:pt>
                <c:pt idx="127" c:formatCode="#,##0">
                  <c:v>127</c:v>
                </c:pt>
                <c:pt idx="128" c:formatCode="#,##0">
                  <c:v>128</c:v>
                </c:pt>
                <c:pt idx="129" c:formatCode="#,##0">
                  <c:v>129</c:v>
                </c:pt>
                <c:pt idx="130" c:formatCode="#,##0">
                  <c:v>130</c:v>
                </c:pt>
                <c:pt idx="131" c:formatCode="#,##0">
                  <c:v>131</c:v>
                </c:pt>
                <c:pt idx="132" c:formatCode="#,##0">
                  <c:v>132</c:v>
                </c:pt>
                <c:pt idx="133" c:formatCode="#,##0">
                  <c:v>133</c:v>
                </c:pt>
                <c:pt idx="134" c:formatCode="#,##0">
                  <c:v>134</c:v>
                </c:pt>
                <c:pt idx="135" c:formatCode="#,##0">
                  <c:v>135</c:v>
                </c:pt>
                <c:pt idx="136" c:formatCode="#,##0">
                  <c:v>136</c:v>
                </c:pt>
                <c:pt idx="137" c:formatCode="#,##0">
                  <c:v>137</c:v>
                </c:pt>
                <c:pt idx="138" c:formatCode="#,##0">
                  <c:v>138</c:v>
                </c:pt>
                <c:pt idx="139" c:formatCode="#,##0">
                  <c:v>139</c:v>
                </c:pt>
                <c:pt idx="140" c:formatCode="#,##0">
                  <c:v>140</c:v>
                </c:pt>
                <c:pt idx="141" c:formatCode="#,##0">
                  <c:v>141</c:v>
                </c:pt>
                <c:pt idx="142" c:formatCode="#,##0">
                  <c:v>142</c:v>
                </c:pt>
                <c:pt idx="143" c:formatCode="#,##0">
                  <c:v>143</c:v>
                </c:pt>
                <c:pt idx="144" c:formatCode="#,##0">
                  <c:v>144</c:v>
                </c:pt>
                <c:pt idx="145" c:formatCode="#,##0">
                  <c:v>145</c:v>
                </c:pt>
                <c:pt idx="146" c:formatCode="#,##0">
                  <c:v>146</c:v>
                </c:pt>
                <c:pt idx="147" c:formatCode="#,##0">
                  <c:v>147</c:v>
                </c:pt>
                <c:pt idx="148" c:formatCode="#,##0">
                  <c:v>148</c:v>
                </c:pt>
                <c:pt idx="149" c:formatCode="#,##0">
                  <c:v>149</c:v>
                </c:pt>
                <c:pt idx="150" c:formatCode="#,##0">
                  <c:v>150</c:v>
                </c:pt>
                <c:pt idx="151" c:formatCode="#,##0">
                  <c:v>151</c:v>
                </c:pt>
                <c:pt idx="152" c:formatCode="#,##0">
                  <c:v>152</c:v>
                </c:pt>
                <c:pt idx="153" c:formatCode="#,##0">
                  <c:v>153</c:v>
                </c:pt>
                <c:pt idx="154" c:formatCode="#,##0">
                  <c:v>154</c:v>
                </c:pt>
                <c:pt idx="155" c:formatCode="#,##0">
                  <c:v>155</c:v>
                </c:pt>
                <c:pt idx="156" c:formatCode="#,##0">
                  <c:v>156</c:v>
                </c:pt>
                <c:pt idx="157" c:formatCode="#,##0">
                  <c:v>157</c:v>
                </c:pt>
                <c:pt idx="158" c:formatCode="#,##0">
                  <c:v>158</c:v>
                </c:pt>
                <c:pt idx="159" c:formatCode="#,##0">
                  <c:v>159</c:v>
                </c:pt>
                <c:pt idx="160" c:formatCode="#,##0">
                  <c:v>160</c:v>
                </c:pt>
                <c:pt idx="161" c:formatCode="#,##0">
                  <c:v>161</c:v>
                </c:pt>
                <c:pt idx="162" c:formatCode="#,##0">
                  <c:v>162</c:v>
                </c:pt>
                <c:pt idx="163" c:formatCode="#,##0">
                  <c:v>163</c:v>
                </c:pt>
                <c:pt idx="164" c:formatCode="#,##0">
                  <c:v>164</c:v>
                </c:pt>
                <c:pt idx="165" c:formatCode="#,##0">
                  <c:v>165</c:v>
                </c:pt>
                <c:pt idx="166" c:formatCode="#,##0">
                  <c:v>166</c:v>
                </c:pt>
                <c:pt idx="167" c:formatCode="#,##0">
                  <c:v>167</c:v>
                </c:pt>
                <c:pt idx="168" c:formatCode="#,##0">
                  <c:v>168</c:v>
                </c:pt>
                <c:pt idx="169" c:formatCode="#,##0">
                  <c:v>169</c:v>
                </c:pt>
                <c:pt idx="170" c:formatCode="#,##0">
                  <c:v>170</c:v>
                </c:pt>
                <c:pt idx="171" c:formatCode="#,##0">
                  <c:v>171</c:v>
                </c:pt>
                <c:pt idx="172" c:formatCode="#,##0">
                  <c:v>172</c:v>
                </c:pt>
                <c:pt idx="173" c:formatCode="#,##0">
                  <c:v>173</c:v>
                </c:pt>
                <c:pt idx="174" c:formatCode="#,##0">
                  <c:v>174</c:v>
                </c:pt>
                <c:pt idx="175" c:formatCode="#,##0">
                  <c:v>175</c:v>
                </c:pt>
                <c:pt idx="176" c:formatCode="#,##0">
                  <c:v>176</c:v>
                </c:pt>
                <c:pt idx="177" c:formatCode="#,##0">
                  <c:v>177</c:v>
                </c:pt>
                <c:pt idx="178" c:formatCode="#,##0">
                  <c:v>178</c:v>
                </c:pt>
                <c:pt idx="179" c:formatCode="#,##0">
                  <c:v>179</c:v>
                </c:pt>
                <c:pt idx="180" c:formatCode="#,##0">
                  <c:v>180</c:v>
                </c:pt>
                <c:pt idx="181" c:formatCode="#,##0">
                  <c:v>181</c:v>
                </c:pt>
                <c:pt idx="182" c:formatCode="#,##0">
                  <c:v>182</c:v>
                </c:pt>
                <c:pt idx="183" c:formatCode="#,##0">
                  <c:v>183</c:v>
                </c:pt>
                <c:pt idx="184" c:formatCode="#,##0">
                  <c:v>184</c:v>
                </c:pt>
                <c:pt idx="185" c:formatCode="#,##0">
                  <c:v>185</c:v>
                </c:pt>
                <c:pt idx="186" c:formatCode="#,##0">
                  <c:v>186</c:v>
                </c:pt>
                <c:pt idx="187" c:formatCode="#,##0">
                  <c:v>187</c:v>
                </c:pt>
                <c:pt idx="188" c:formatCode="#,##0">
                  <c:v>188</c:v>
                </c:pt>
                <c:pt idx="189" c:formatCode="#,##0">
                  <c:v>189</c:v>
                </c:pt>
                <c:pt idx="190" c:formatCode="#,##0">
                  <c:v>190</c:v>
                </c:pt>
                <c:pt idx="191" c:formatCode="#,##0">
                  <c:v>191</c:v>
                </c:pt>
                <c:pt idx="192" c:formatCode="#,##0">
                  <c:v>192</c:v>
                </c:pt>
                <c:pt idx="193" c:formatCode="#,##0">
                  <c:v>193</c:v>
                </c:pt>
                <c:pt idx="194" c:formatCode="#,##0">
                  <c:v>194</c:v>
                </c:pt>
                <c:pt idx="195" c:formatCode="#,##0">
                  <c:v>195</c:v>
                </c:pt>
                <c:pt idx="196" c:formatCode="#,##0">
                  <c:v>196</c:v>
                </c:pt>
                <c:pt idx="197" c:formatCode="#,##0">
                  <c:v>197</c:v>
                </c:pt>
                <c:pt idx="198" c:formatCode="#,##0">
                  <c:v>198</c:v>
                </c:pt>
                <c:pt idx="199" c:formatCode="#,##0">
                  <c:v>199</c:v>
                </c:pt>
                <c:pt idx="200" c:formatCode="#,##0">
                  <c:v>200</c:v>
                </c:pt>
                <c:pt idx="201" c:formatCode="#,##0">
                  <c:v>201</c:v>
                </c:pt>
                <c:pt idx="202" c:formatCode="#,##0">
                  <c:v>202</c:v>
                </c:pt>
                <c:pt idx="203" c:formatCode="#,##0">
                  <c:v>203</c:v>
                </c:pt>
                <c:pt idx="204" c:formatCode="#,##0">
                  <c:v>204</c:v>
                </c:pt>
                <c:pt idx="205" c:formatCode="#,##0">
                  <c:v>205</c:v>
                </c:pt>
                <c:pt idx="206" c:formatCode="#,##0">
                  <c:v>206</c:v>
                </c:pt>
                <c:pt idx="207" c:formatCode="#,##0">
                  <c:v>207</c:v>
                </c:pt>
                <c:pt idx="208" c:formatCode="#,##0">
                  <c:v>208</c:v>
                </c:pt>
                <c:pt idx="209" c:formatCode="#,##0">
                  <c:v>209</c:v>
                </c:pt>
                <c:pt idx="210" c:formatCode="#,##0">
                  <c:v>210</c:v>
                </c:pt>
                <c:pt idx="211" c:formatCode="#,##0">
                  <c:v>211</c:v>
                </c:pt>
                <c:pt idx="212" c:formatCode="#,##0">
                  <c:v>212</c:v>
                </c:pt>
                <c:pt idx="213" c:formatCode="#,##0">
                  <c:v>213</c:v>
                </c:pt>
                <c:pt idx="214" c:formatCode="#,##0">
                  <c:v>214</c:v>
                </c:pt>
                <c:pt idx="215" c:formatCode="#,##0">
                  <c:v>215</c:v>
                </c:pt>
                <c:pt idx="216" c:formatCode="#,##0">
                  <c:v>216</c:v>
                </c:pt>
                <c:pt idx="217" c:formatCode="#,##0">
                  <c:v>217</c:v>
                </c:pt>
                <c:pt idx="218" c:formatCode="#,##0">
                  <c:v>218</c:v>
                </c:pt>
                <c:pt idx="219" c:formatCode="#,##0">
                  <c:v>219</c:v>
                </c:pt>
                <c:pt idx="220" c:formatCode="#,##0">
                  <c:v>220</c:v>
                </c:pt>
                <c:pt idx="221" c:formatCode="#,##0">
                  <c:v>221</c:v>
                </c:pt>
                <c:pt idx="222" c:formatCode="#,##0">
                  <c:v>222</c:v>
                </c:pt>
                <c:pt idx="223" c:formatCode="#,##0">
                  <c:v>223</c:v>
                </c:pt>
                <c:pt idx="224" c:formatCode="#,##0">
                  <c:v>224</c:v>
                </c:pt>
                <c:pt idx="225" c:formatCode="#,##0">
                  <c:v>225</c:v>
                </c:pt>
                <c:pt idx="226" c:formatCode="#,##0">
                  <c:v>226</c:v>
                </c:pt>
                <c:pt idx="227" c:formatCode="#,##0">
                  <c:v>227</c:v>
                </c:pt>
                <c:pt idx="228" c:formatCode="#,##0">
                  <c:v>228</c:v>
                </c:pt>
                <c:pt idx="229" c:formatCode="#,##0">
                  <c:v>229</c:v>
                </c:pt>
                <c:pt idx="230" c:formatCode="#,##0">
                  <c:v>230</c:v>
                </c:pt>
                <c:pt idx="231" c:formatCode="#,##0">
                  <c:v>231</c:v>
                </c:pt>
                <c:pt idx="232" c:formatCode="#,##0">
                  <c:v>232</c:v>
                </c:pt>
                <c:pt idx="233" c:formatCode="#,##0">
                  <c:v>233</c:v>
                </c:pt>
                <c:pt idx="234" c:formatCode="#,##0">
                  <c:v>234</c:v>
                </c:pt>
                <c:pt idx="235" c:formatCode="#,##0">
                  <c:v>235</c:v>
                </c:pt>
                <c:pt idx="236" c:formatCode="#,##0">
                  <c:v>236</c:v>
                </c:pt>
                <c:pt idx="237" c:formatCode="#,##0">
                  <c:v>237</c:v>
                </c:pt>
                <c:pt idx="238" c:formatCode="#,##0">
                  <c:v>238</c:v>
                </c:pt>
                <c:pt idx="239" c:formatCode="#,##0">
                  <c:v>239</c:v>
                </c:pt>
                <c:pt idx="240" c:formatCode="#,##0">
                  <c:v>240</c:v>
                </c:pt>
                <c:pt idx="241" c:formatCode="#,##0">
                  <c:v>241</c:v>
                </c:pt>
                <c:pt idx="242" c:formatCode="#,##0">
                  <c:v>242</c:v>
                </c:pt>
                <c:pt idx="243" c:formatCode="#,##0">
                  <c:v>243</c:v>
                </c:pt>
                <c:pt idx="244" c:formatCode="#,##0">
                  <c:v>244</c:v>
                </c:pt>
                <c:pt idx="245" c:formatCode="#,##0">
                  <c:v>245</c:v>
                </c:pt>
                <c:pt idx="246" c:formatCode="#,##0">
                  <c:v>246</c:v>
                </c:pt>
                <c:pt idx="247" c:formatCode="#,##0">
                  <c:v>247</c:v>
                </c:pt>
                <c:pt idx="248" c:formatCode="#,##0">
                  <c:v>248</c:v>
                </c:pt>
                <c:pt idx="249" c:formatCode="#,##0">
                  <c:v>249</c:v>
                </c:pt>
                <c:pt idx="250" c:formatCode="#,##0">
                  <c:v>250</c:v>
                </c:pt>
                <c:pt idx="251" c:formatCode="#,##0">
                  <c:v>251</c:v>
                </c:pt>
                <c:pt idx="252" c:formatCode="#,##0">
                  <c:v>252</c:v>
                </c:pt>
                <c:pt idx="253" c:formatCode="#,##0">
                  <c:v>253</c:v>
                </c:pt>
                <c:pt idx="254" c:formatCode="#,##0">
                  <c:v>254</c:v>
                </c:pt>
                <c:pt idx="255" c:formatCode="#,##0">
                  <c:v>255</c:v>
                </c:pt>
                <c:pt idx="256" c:formatCode="#,##0">
                  <c:v>256</c:v>
                </c:pt>
                <c:pt idx="257" c:formatCode="#,##0">
                  <c:v>257</c:v>
                </c:pt>
                <c:pt idx="258" c:formatCode="#,##0">
                  <c:v>258</c:v>
                </c:pt>
                <c:pt idx="259" c:formatCode="#,##0">
                  <c:v>259</c:v>
                </c:pt>
                <c:pt idx="260" c:formatCode="#,##0">
                  <c:v>260</c:v>
                </c:pt>
                <c:pt idx="261" c:formatCode="#,##0">
                  <c:v>261</c:v>
                </c:pt>
                <c:pt idx="262" c:formatCode="#,##0">
                  <c:v>262</c:v>
                </c:pt>
                <c:pt idx="263" c:formatCode="#,##0">
                  <c:v>263</c:v>
                </c:pt>
                <c:pt idx="264" c:formatCode="#,##0">
                  <c:v>264</c:v>
                </c:pt>
                <c:pt idx="265" c:formatCode="#,##0">
                  <c:v>265</c:v>
                </c:pt>
                <c:pt idx="266" c:formatCode="#,##0">
                  <c:v>266</c:v>
                </c:pt>
                <c:pt idx="267" c:formatCode="#,##0">
                  <c:v>267</c:v>
                </c:pt>
                <c:pt idx="268" c:formatCode="#,##0">
                  <c:v>268</c:v>
                </c:pt>
                <c:pt idx="269" c:formatCode="#,##0">
                  <c:v>269</c:v>
                </c:pt>
                <c:pt idx="270" c:formatCode="#,##0">
                  <c:v>270</c:v>
                </c:pt>
                <c:pt idx="271" c:formatCode="#,##0">
                  <c:v>271</c:v>
                </c:pt>
                <c:pt idx="272" c:formatCode="#,##0">
                  <c:v>272</c:v>
                </c:pt>
                <c:pt idx="273" c:formatCode="#,##0">
                  <c:v>273</c:v>
                </c:pt>
                <c:pt idx="274" c:formatCode="#,##0">
                  <c:v>274</c:v>
                </c:pt>
                <c:pt idx="275" c:formatCode="#,##0">
                  <c:v>275</c:v>
                </c:pt>
                <c:pt idx="276" c:formatCode="#,##0">
                  <c:v>276</c:v>
                </c:pt>
                <c:pt idx="277" c:formatCode="#,##0">
                  <c:v>277</c:v>
                </c:pt>
                <c:pt idx="278" c:formatCode="#,##0">
                  <c:v>278</c:v>
                </c:pt>
                <c:pt idx="279" c:formatCode="#,##0">
                  <c:v>279</c:v>
                </c:pt>
                <c:pt idx="280" c:formatCode="#,##0">
                  <c:v>280</c:v>
                </c:pt>
                <c:pt idx="281" c:formatCode="#,##0">
                  <c:v>281</c:v>
                </c:pt>
                <c:pt idx="282" c:formatCode="#,##0">
                  <c:v>282</c:v>
                </c:pt>
                <c:pt idx="283" c:formatCode="#,##0">
                  <c:v>283</c:v>
                </c:pt>
                <c:pt idx="284" c:formatCode="#,##0">
                  <c:v>284</c:v>
                </c:pt>
                <c:pt idx="285" c:formatCode="#,##0">
                  <c:v>285</c:v>
                </c:pt>
                <c:pt idx="286" c:formatCode="#,##0">
                  <c:v>286</c:v>
                </c:pt>
                <c:pt idx="287" c:formatCode="#,##0">
                  <c:v>287</c:v>
                </c:pt>
                <c:pt idx="288" c:formatCode="#,##0">
                  <c:v>288</c:v>
                </c:pt>
                <c:pt idx="289" c:formatCode="#,##0">
                  <c:v>289</c:v>
                </c:pt>
                <c:pt idx="290" c:formatCode="#,##0">
                  <c:v>290</c:v>
                </c:pt>
                <c:pt idx="291" c:formatCode="#,##0">
                  <c:v>291</c:v>
                </c:pt>
                <c:pt idx="292" c:formatCode="#,##0">
                  <c:v>292</c:v>
                </c:pt>
                <c:pt idx="293" c:formatCode="#,##0">
                  <c:v>293</c:v>
                </c:pt>
                <c:pt idx="294" c:formatCode="#,##0">
                  <c:v>294</c:v>
                </c:pt>
                <c:pt idx="295" c:formatCode="#,##0">
                  <c:v>295</c:v>
                </c:pt>
                <c:pt idx="296" c:formatCode="#,##0">
                  <c:v>296</c:v>
                </c:pt>
                <c:pt idx="297" c:formatCode="#,##0">
                  <c:v>297</c:v>
                </c:pt>
                <c:pt idx="298" c:formatCode="#,##0">
                  <c:v>298</c:v>
                </c:pt>
                <c:pt idx="299" c:formatCode="#,##0">
                  <c:v>299</c:v>
                </c:pt>
                <c:pt idx="300" c:formatCode="#,##0">
                  <c:v>300</c:v>
                </c:pt>
                <c:pt idx="301" c:formatCode="#,##0">
                  <c:v>301</c:v>
                </c:pt>
                <c:pt idx="302" c:formatCode="#,##0">
                  <c:v>302</c:v>
                </c:pt>
                <c:pt idx="303" c:formatCode="#,##0">
                  <c:v>303</c:v>
                </c:pt>
                <c:pt idx="304" c:formatCode="#,##0">
                  <c:v>304</c:v>
                </c:pt>
                <c:pt idx="305" c:formatCode="#,##0">
                  <c:v>305</c:v>
                </c:pt>
                <c:pt idx="306" c:formatCode="#,##0">
                  <c:v>306</c:v>
                </c:pt>
                <c:pt idx="307" c:formatCode="#,##0">
                  <c:v>307</c:v>
                </c:pt>
                <c:pt idx="308" c:formatCode="#,##0">
                  <c:v>308</c:v>
                </c:pt>
                <c:pt idx="309" c:formatCode="#,##0">
                  <c:v>309</c:v>
                </c:pt>
                <c:pt idx="310" c:formatCode="#,##0">
                  <c:v>310</c:v>
                </c:pt>
                <c:pt idx="311" c:formatCode="#,##0">
                  <c:v>311</c:v>
                </c:pt>
                <c:pt idx="312" c:formatCode="#,##0">
                  <c:v>312</c:v>
                </c:pt>
                <c:pt idx="313" c:formatCode="#,##0">
                  <c:v>313</c:v>
                </c:pt>
                <c:pt idx="314" c:formatCode="#,##0">
                  <c:v>314</c:v>
                </c:pt>
                <c:pt idx="315" c:formatCode="#,##0">
                  <c:v>315</c:v>
                </c:pt>
                <c:pt idx="316" c:formatCode="#,##0">
                  <c:v>316</c:v>
                </c:pt>
                <c:pt idx="317" c:formatCode="#,##0">
                  <c:v>317</c:v>
                </c:pt>
                <c:pt idx="318" c:formatCode="#,##0">
                  <c:v>318</c:v>
                </c:pt>
                <c:pt idx="319" c:formatCode="#,##0">
                  <c:v>319</c:v>
                </c:pt>
                <c:pt idx="320" c:formatCode="#,##0">
                  <c:v>320</c:v>
                </c:pt>
                <c:pt idx="321" c:formatCode="#,##0">
                  <c:v>321</c:v>
                </c:pt>
                <c:pt idx="322" c:formatCode="#,##0">
                  <c:v>322</c:v>
                </c:pt>
                <c:pt idx="323" c:formatCode="#,##0">
                  <c:v>323</c:v>
                </c:pt>
                <c:pt idx="324" c:formatCode="#,##0">
                  <c:v>324</c:v>
                </c:pt>
                <c:pt idx="325" c:formatCode="#,##0">
                  <c:v>325</c:v>
                </c:pt>
                <c:pt idx="326" c:formatCode="#,##0">
                  <c:v>326</c:v>
                </c:pt>
                <c:pt idx="327" c:formatCode="#,##0">
                  <c:v>327</c:v>
                </c:pt>
                <c:pt idx="328" c:formatCode="#,##0">
                  <c:v>328</c:v>
                </c:pt>
                <c:pt idx="329" c:formatCode="#,##0">
                  <c:v>329</c:v>
                </c:pt>
                <c:pt idx="330" c:formatCode="#,##0">
                  <c:v>330</c:v>
                </c:pt>
                <c:pt idx="331" c:formatCode="#,##0">
                  <c:v>331</c:v>
                </c:pt>
                <c:pt idx="332" c:formatCode="#,##0">
                  <c:v>332</c:v>
                </c:pt>
                <c:pt idx="333" c:formatCode="#,##0">
                  <c:v>333</c:v>
                </c:pt>
                <c:pt idx="334" c:formatCode="#,##0">
                  <c:v>334</c:v>
                </c:pt>
                <c:pt idx="335" c:formatCode="#,##0">
                  <c:v>335</c:v>
                </c:pt>
                <c:pt idx="336" c:formatCode="#,##0">
                  <c:v>336</c:v>
                </c:pt>
                <c:pt idx="337" c:formatCode="#,##0">
                  <c:v>337</c:v>
                </c:pt>
                <c:pt idx="338" c:formatCode="#,##0">
                  <c:v>338</c:v>
                </c:pt>
                <c:pt idx="339" c:formatCode="#,##0">
                  <c:v>339</c:v>
                </c:pt>
                <c:pt idx="340" c:formatCode="#,##0">
                  <c:v>340</c:v>
                </c:pt>
                <c:pt idx="341" c:formatCode="#,##0">
                  <c:v>341</c:v>
                </c:pt>
                <c:pt idx="342" c:formatCode="#,##0">
                  <c:v>342</c:v>
                </c:pt>
                <c:pt idx="343" c:formatCode="#,##0">
                  <c:v>343</c:v>
                </c:pt>
                <c:pt idx="344" c:formatCode="#,##0">
                  <c:v>344</c:v>
                </c:pt>
                <c:pt idx="345" c:formatCode="#,##0">
                  <c:v>345</c:v>
                </c:pt>
                <c:pt idx="346" c:formatCode="#,##0">
                  <c:v>346</c:v>
                </c:pt>
                <c:pt idx="347" c:formatCode="#,##0">
                  <c:v>347</c:v>
                </c:pt>
                <c:pt idx="348" c:formatCode="#,##0">
                  <c:v>348</c:v>
                </c:pt>
                <c:pt idx="349" c:formatCode="#,##0">
                  <c:v>349</c:v>
                </c:pt>
                <c:pt idx="350" c:formatCode="#,##0">
                  <c:v>350</c:v>
                </c:pt>
                <c:pt idx="351" c:formatCode="#,##0">
                  <c:v>351</c:v>
                </c:pt>
                <c:pt idx="352" c:formatCode="#,##0">
                  <c:v>352</c:v>
                </c:pt>
                <c:pt idx="353" c:formatCode="#,##0">
                  <c:v>353</c:v>
                </c:pt>
                <c:pt idx="354" c:formatCode="#,##0">
                  <c:v>354</c:v>
                </c:pt>
                <c:pt idx="355" c:formatCode="#,##0">
                  <c:v>355</c:v>
                </c:pt>
                <c:pt idx="356" c:formatCode="#,##0">
                  <c:v>356</c:v>
                </c:pt>
                <c:pt idx="357" c:formatCode="#,##0">
                  <c:v>357</c:v>
                </c:pt>
                <c:pt idx="358" c:formatCode="#,##0">
                  <c:v>358</c:v>
                </c:pt>
                <c:pt idx="359" c:formatCode="#,##0">
                  <c:v>359</c:v>
                </c:pt>
                <c:pt idx="360" c:formatCode="#,##0">
                  <c:v>360</c:v>
                </c:pt>
                <c:pt idx="361" c:formatCode="#,##0">
                  <c:v>361</c:v>
                </c:pt>
                <c:pt idx="362" c:formatCode="#,##0">
                  <c:v>362</c:v>
                </c:pt>
                <c:pt idx="363" c:formatCode="#,##0">
                  <c:v>363</c:v>
                </c:pt>
                <c:pt idx="364" c:formatCode="#,##0">
                  <c:v>364</c:v>
                </c:pt>
                <c:pt idx="365" c:formatCode="#,##0">
                  <c:v>365</c:v>
                </c:pt>
              </c:numCache>
            </c:numRef>
          </c:cat>
          <c:val>
            <c:numRef>
              <c:f>'日期-等级经验曲线'!$D$4:$D$369</c:f>
              <c:numCache>
                <c:formatCode>#,##0</c:formatCode>
                <c:ptCount val="366"/>
                <c:pt idx="0">
                  <c:v>0</c:v>
                </c:pt>
                <c:pt idx="1">
                  <c:v>30</c:v>
                </c:pt>
                <c:pt idx="2">
                  <c:v>60.8333333333333</c:v>
                </c:pt>
                <c:pt idx="3">
                  <c:v>92.5</c:v>
                </c:pt>
                <c:pt idx="4">
                  <c:v>125</c:v>
                </c:pt>
                <c:pt idx="5">
                  <c:v>158.333333333333</c:v>
                </c:pt>
                <c:pt idx="6">
                  <c:v>192.5</c:v>
                </c:pt>
                <c:pt idx="7">
                  <c:v>227.5</c:v>
                </c:pt>
                <c:pt idx="8">
                  <c:v>262.934782608696</c:v>
                </c:pt>
                <c:pt idx="9">
                  <c:v>298.804347826087</c:v>
                </c:pt>
                <c:pt idx="10">
                  <c:v>335.108695652174</c:v>
                </c:pt>
                <c:pt idx="11">
                  <c:v>371.847826086957</c:v>
                </c:pt>
                <c:pt idx="12">
                  <c:v>409.021739130435</c:v>
                </c:pt>
                <c:pt idx="13">
                  <c:v>446.630434782609</c:v>
                </c:pt>
                <c:pt idx="14">
                  <c:v>484.673913043478</c:v>
                </c:pt>
                <c:pt idx="15">
                  <c:v>523.152173913043</c:v>
                </c:pt>
                <c:pt idx="16">
                  <c:v>562.065217391304</c:v>
                </c:pt>
                <c:pt idx="17">
                  <c:v>601.413043478261</c:v>
                </c:pt>
                <c:pt idx="18">
                  <c:v>641.195652173913</c:v>
                </c:pt>
                <c:pt idx="19">
                  <c:v>681.413043478261</c:v>
                </c:pt>
                <c:pt idx="20">
                  <c:v>722.065217391304</c:v>
                </c:pt>
                <c:pt idx="21">
                  <c:v>763.152173913043</c:v>
                </c:pt>
                <c:pt idx="22">
                  <c:v>804.673913043478</c:v>
                </c:pt>
                <c:pt idx="23">
                  <c:v>846.630434782609</c:v>
                </c:pt>
                <c:pt idx="24">
                  <c:v>889.021739130435</c:v>
                </c:pt>
                <c:pt idx="25">
                  <c:v>931.847826086957</c:v>
                </c:pt>
                <c:pt idx="26">
                  <c:v>975.108695652174</c:v>
                </c:pt>
                <c:pt idx="27">
                  <c:v>1018.80434782609</c:v>
                </c:pt>
                <c:pt idx="28">
                  <c:v>1062.9347826087</c:v>
                </c:pt>
                <c:pt idx="29">
                  <c:v>1107.5</c:v>
                </c:pt>
                <c:pt idx="30">
                  <c:v>1152.5</c:v>
                </c:pt>
                <c:pt idx="31">
                  <c:v>1197.83333333333</c:v>
                </c:pt>
                <c:pt idx="32">
                  <c:v>1243.5</c:v>
                </c:pt>
                <c:pt idx="33">
                  <c:v>1289.5</c:v>
                </c:pt>
                <c:pt idx="34">
                  <c:v>1335.83333333333</c:v>
                </c:pt>
                <c:pt idx="35">
                  <c:v>1382.5</c:v>
                </c:pt>
                <c:pt idx="36">
                  <c:v>1429.5</c:v>
                </c:pt>
                <c:pt idx="37">
                  <c:v>1476.83333333333</c:v>
                </c:pt>
                <c:pt idx="38">
                  <c:v>1524.5</c:v>
                </c:pt>
                <c:pt idx="39">
                  <c:v>1572.5</c:v>
                </c:pt>
                <c:pt idx="40">
                  <c:v>1620.83333333333</c:v>
                </c:pt>
                <c:pt idx="41">
                  <c:v>1669.5</c:v>
                </c:pt>
                <c:pt idx="42">
                  <c:v>1718.5</c:v>
                </c:pt>
                <c:pt idx="43">
                  <c:v>1767.83333333333</c:v>
                </c:pt>
                <c:pt idx="44">
                  <c:v>1817.5</c:v>
                </c:pt>
                <c:pt idx="45">
                  <c:v>1867.5</c:v>
                </c:pt>
                <c:pt idx="46">
                  <c:v>1917.83333333333</c:v>
                </c:pt>
                <c:pt idx="47">
                  <c:v>1968.5</c:v>
                </c:pt>
                <c:pt idx="48">
                  <c:v>2019.5</c:v>
                </c:pt>
                <c:pt idx="49">
                  <c:v>2070.83333333333</c:v>
                </c:pt>
                <c:pt idx="50">
                  <c:v>2122.5</c:v>
                </c:pt>
                <c:pt idx="51">
                  <c:v>2174.5</c:v>
                </c:pt>
                <c:pt idx="52">
                  <c:v>2226.83333333333</c:v>
                </c:pt>
                <c:pt idx="53">
                  <c:v>2279.5</c:v>
                </c:pt>
                <c:pt idx="54">
                  <c:v>2332.5</c:v>
                </c:pt>
                <c:pt idx="55">
                  <c:v>2385.83333333333</c:v>
                </c:pt>
                <c:pt idx="56">
                  <c:v>2439.5</c:v>
                </c:pt>
                <c:pt idx="57">
                  <c:v>2493.5</c:v>
                </c:pt>
                <c:pt idx="58">
                  <c:v>2547.83333333333</c:v>
                </c:pt>
                <c:pt idx="59">
                  <c:v>2602.5</c:v>
                </c:pt>
                <c:pt idx="60">
                  <c:v>2657.5</c:v>
                </c:pt>
                <c:pt idx="61">
                  <c:v>2712.83333333333</c:v>
                </c:pt>
                <c:pt idx="62">
                  <c:v>2768.5</c:v>
                </c:pt>
                <c:pt idx="63">
                  <c:v>2824.5</c:v>
                </c:pt>
                <c:pt idx="64">
                  <c:v>2880.83333333333</c:v>
                </c:pt>
                <c:pt idx="65">
                  <c:v>2937.5</c:v>
                </c:pt>
                <c:pt idx="66">
                  <c:v>2994.5</c:v>
                </c:pt>
                <c:pt idx="67">
                  <c:v>3051.83333333333</c:v>
                </c:pt>
                <c:pt idx="68">
                  <c:v>3109.5</c:v>
                </c:pt>
                <c:pt idx="69">
                  <c:v>3167.5</c:v>
                </c:pt>
                <c:pt idx="70">
                  <c:v>3225.83333333333</c:v>
                </c:pt>
                <c:pt idx="71">
                  <c:v>3284.5</c:v>
                </c:pt>
                <c:pt idx="72">
                  <c:v>3343.5</c:v>
                </c:pt>
                <c:pt idx="73">
                  <c:v>3402.83333333333</c:v>
                </c:pt>
                <c:pt idx="74">
                  <c:v>3462.5</c:v>
                </c:pt>
                <c:pt idx="75">
                  <c:v>3522.5</c:v>
                </c:pt>
                <c:pt idx="76">
                  <c:v>3582.83333333333</c:v>
                </c:pt>
                <c:pt idx="77">
                  <c:v>3643.5</c:v>
                </c:pt>
                <c:pt idx="78">
                  <c:v>3704.5</c:v>
                </c:pt>
                <c:pt idx="79">
                  <c:v>3765.83333333333</c:v>
                </c:pt>
                <c:pt idx="80">
                  <c:v>3827.5</c:v>
                </c:pt>
                <c:pt idx="81">
                  <c:v>3889.5</c:v>
                </c:pt>
                <c:pt idx="82">
                  <c:v>3951.83333333333</c:v>
                </c:pt>
                <c:pt idx="83">
                  <c:v>4014.5</c:v>
                </c:pt>
                <c:pt idx="84">
                  <c:v>4077.5</c:v>
                </c:pt>
                <c:pt idx="85">
                  <c:v>4140.83333333333</c:v>
                </c:pt>
                <c:pt idx="86">
                  <c:v>4204.5</c:v>
                </c:pt>
                <c:pt idx="87">
                  <c:v>4268.5</c:v>
                </c:pt>
                <c:pt idx="88">
                  <c:v>4332.83333333333</c:v>
                </c:pt>
                <c:pt idx="89">
                  <c:v>4397.5</c:v>
                </c:pt>
                <c:pt idx="90">
                  <c:v>4462.5</c:v>
                </c:pt>
                <c:pt idx="91">
                  <c:v>4527.66666666667</c:v>
                </c:pt>
                <c:pt idx="92">
                  <c:v>4593</c:v>
                </c:pt>
                <c:pt idx="93">
                  <c:v>4658.5</c:v>
                </c:pt>
                <c:pt idx="94">
                  <c:v>4724.16666666667</c:v>
                </c:pt>
                <c:pt idx="95">
                  <c:v>4790</c:v>
                </c:pt>
                <c:pt idx="96">
                  <c:v>4856</c:v>
                </c:pt>
                <c:pt idx="97">
                  <c:v>4922.16666666667</c:v>
                </c:pt>
                <c:pt idx="98">
                  <c:v>4988.5</c:v>
                </c:pt>
                <c:pt idx="99">
                  <c:v>5055</c:v>
                </c:pt>
                <c:pt idx="100">
                  <c:v>5121.66666666667</c:v>
                </c:pt>
                <c:pt idx="101">
                  <c:v>5188.5</c:v>
                </c:pt>
                <c:pt idx="102">
                  <c:v>5255.5</c:v>
                </c:pt>
                <c:pt idx="103">
                  <c:v>5322.66666666667</c:v>
                </c:pt>
                <c:pt idx="104">
                  <c:v>5390</c:v>
                </c:pt>
                <c:pt idx="105">
                  <c:v>5457.5</c:v>
                </c:pt>
                <c:pt idx="106">
                  <c:v>5525.16666666667</c:v>
                </c:pt>
                <c:pt idx="107">
                  <c:v>5593</c:v>
                </c:pt>
                <c:pt idx="108">
                  <c:v>5661</c:v>
                </c:pt>
                <c:pt idx="109">
                  <c:v>5729.16666666667</c:v>
                </c:pt>
                <c:pt idx="110">
                  <c:v>5797.5</c:v>
                </c:pt>
                <c:pt idx="111">
                  <c:v>5866</c:v>
                </c:pt>
                <c:pt idx="112">
                  <c:v>5934.66666666667</c:v>
                </c:pt>
                <c:pt idx="113">
                  <c:v>6003.5</c:v>
                </c:pt>
                <c:pt idx="114">
                  <c:v>6072.5</c:v>
                </c:pt>
                <c:pt idx="115">
                  <c:v>6141.66666666667</c:v>
                </c:pt>
                <c:pt idx="116">
                  <c:v>6211</c:v>
                </c:pt>
                <c:pt idx="117">
                  <c:v>6280.5</c:v>
                </c:pt>
                <c:pt idx="118">
                  <c:v>6350.16666666667</c:v>
                </c:pt>
                <c:pt idx="119">
                  <c:v>6420</c:v>
                </c:pt>
                <c:pt idx="120">
                  <c:v>6490</c:v>
                </c:pt>
                <c:pt idx="121">
                  <c:v>6560.16666666667</c:v>
                </c:pt>
                <c:pt idx="122">
                  <c:v>6630.5</c:v>
                </c:pt>
                <c:pt idx="123">
                  <c:v>6701</c:v>
                </c:pt>
                <c:pt idx="124">
                  <c:v>6771.66666666667</c:v>
                </c:pt>
                <c:pt idx="125">
                  <c:v>6842.5</c:v>
                </c:pt>
                <c:pt idx="126">
                  <c:v>6913.5</c:v>
                </c:pt>
                <c:pt idx="127">
                  <c:v>6984.66666666667</c:v>
                </c:pt>
                <c:pt idx="128">
                  <c:v>7056</c:v>
                </c:pt>
                <c:pt idx="129">
                  <c:v>7127.5</c:v>
                </c:pt>
                <c:pt idx="130">
                  <c:v>7199.16666666667</c:v>
                </c:pt>
                <c:pt idx="131">
                  <c:v>7271</c:v>
                </c:pt>
                <c:pt idx="132">
                  <c:v>7343</c:v>
                </c:pt>
                <c:pt idx="133">
                  <c:v>7415.16666666667</c:v>
                </c:pt>
                <c:pt idx="134">
                  <c:v>7487.5</c:v>
                </c:pt>
                <c:pt idx="135">
                  <c:v>7560</c:v>
                </c:pt>
                <c:pt idx="136">
                  <c:v>7632.66666666667</c:v>
                </c:pt>
                <c:pt idx="137">
                  <c:v>7705.5</c:v>
                </c:pt>
                <c:pt idx="138">
                  <c:v>7778.5</c:v>
                </c:pt>
                <c:pt idx="139">
                  <c:v>7851.66666666667</c:v>
                </c:pt>
                <c:pt idx="140">
                  <c:v>7925</c:v>
                </c:pt>
                <c:pt idx="141">
                  <c:v>7998.5</c:v>
                </c:pt>
                <c:pt idx="142">
                  <c:v>8072.16666666667</c:v>
                </c:pt>
                <c:pt idx="143">
                  <c:v>8146</c:v>
                </c:pt>
                <c:pt idx="144">
                  <c:v>8220</c:v>
                </c:pt>
                <c:pt idx="145">
                  <c:v>8294.16666666667</c:v>
                </c:pt>
                <c:pt idx="146">
                  <c:v>8368.5</c:v>
                </c:pt>
                <c:pt idx="147">
                  <c:v>8443</c:v>
                </c:pt>
                <c:pt idx="148">
                  <c:v>8517.66666666667</c:v>
                </c:pt>
                <c:pt idx="149">
                  <c:v>8592.5</c:v>
                </c:pt>
                <c:pt idx="150">
                  <c:v>8667.5</c:v>
                </c:pt>
                <c:pt idx="151">
                  <c:v>8742.66666666667</c:v>
                </c:pt>
                <c:pt idx="152">
                  <c:v>8818</c:v>
                </c:pt>
                <c:pt idx="153">
                  <c:v>8893.5</c:v>
                </c:pt>
                <c:pt idx="154">
                  <c:v>8969.16666666667</c:v>
                </c:pt>
                <c:pt idx="155">
                  <c:v>9045</c:v>
                </c:pt>
                <c:pt idx="156">
                  <c:v>9121</c:v>
                </c:pt>
                <c:pt idx="157">
                  <c:v>9197.16666666667</c:v>
                </c:pt>
                <c:pt idx="158">
                  <c:v>9273.5</c:v>
                </c:pt>
                <c:pt idx="159">
                  <c:v>9350</c:v>
                </c:pt>
                <c:pt idx="160">
                  <c:v>9426.66666666667</c:v>
                </c:pt>
                <c:pt idx="161">
                  <c:v>9503.5</c:v>
                </c:pt>
                <c:pt idx="162">
                  <c:v>9580.5</c:v>
                </c:pt>
                <c:pt idx="163">
                  <c:v>9657.66666666667</c:v>
                </c:pt>
                <c:pt idx="164">
                  <c:v>9735</c:v>
                </c:pt>
                <c:pt idx="165">
                  <c:v>9812.5</c:v>
                </c:pt>
                <c:pt idx="166">
                  <c:v>9890.16666666667</c:v>
                </c:pt>
                <c:pt idx="167">
                  <c:v>9968</c:v>
                </c:pt>
                <c:pt idx="168">
                  <c:v>10046</c:v>
                </c:pt>
                <c:pt idx="169">
                  <c:v>10124.1666666667</c:v>
                </c:pt>
                <c:pt idx="170">
                  <c:v>10202.5</c:v>
                </c:pt>
                <c:pt idx="171">
                  <c:v>10281</c:v>
                </c:pt>
                <c:pt idx="172">
                  <c:v>10359.6666666667</c:v>
                </c:pt>
                <c:pt idx="173">
                  <c:v>10438.5</c:v>
                </c:pt>
                <c:pt idx="174">
                  <c:v>10517.5</c:v>
                </c:pt>
                <c:pt idx="175">
                  <c:v>10596.6666666667</c:v>
                </c:pt>
                <c:pt idx="176">
                  <c:v>10676</c:v>
                </c:pt>
                <c:pt idx="177">
                  <c:v>10755.5</c:v>
                </c:pt>
                <c:pt idx="178">
                  <c:v>10835.1666666667</c:v>
                </c:pt>
                <c:pt idx="179">
                  <c:v>10915</c:v>
                </c:pt>
                <c:pt idx="180">
                  <c:v>10995</c:v>
                </c:pt>
                <c:pt idx="181">
                  <c:v>11075.1081081081</c:v>
                </c:pt>
                <c:pt idx="182">
                  <c:v>11155.3243243243</c:v>
                </c:pt>
                <c:pt idx="183">
                  <c:v>11235.6486486487</c:v>
                </c:pt>
                <c:pt idx="184">
                  <c:v>11316.0810810811</c:v>
                </c:pt>
                <c:pt idx="185">
                  <c:v>11396.6216216216</c:v>
                </c:pt>
                <c:pt idx="186">
                  <c:v>11477.2702702703</c:v>
                </c:pt>
                <c:pt idx="187">
                  <c:v>11558.027027027</c:v>
                </c:pt>
                <c:pt idx="188">
                  <c:v>11638.8918918919</c:v>
                </c:pt>
                <c:pt idx="189">
                  <c:v>11719.8648648649</c:v>
                </c:pt>
                <c:pt idx="190">
                  <c:v>11800.9459459459</c:v>
                </c:pt>
                <c:pt idx="191">
                  <c:v>11882.1351351351</c:v>
                </c:pt>
                <c:pt idx="192">
                  <c:v>11963.4324324324</c:v>
                </c:pt>
                <c:pt idx="193">
                  <c:v>12044.8378378378</c:v>
                </c:pt>
                <c:pt idx="194">
                  <c:v>12126.3513513514</c:v>
                </c:pt>
                <c:pt idx="195">
                  <c:v>12207.972972973</c:v>
                </c:pt>
                <c:pt idx="196">
                  <c:v>12289.7027027027</c:v>
                </c:pt>
                <c:pt idx="197">
                  <c:v>12371.5405405405</c:v>
                </c:pt>
                <c:pt idx="198">
                  <c:v>12453.4864864865</c:v>
                </c:pt>
                <c:pt idx="199">
                  <c:v>12535.5405405405</c:v>
                </c:pt>
                <c:pt idx="200">
                  <c:v>12617.7027027027</c:v>
                </c:pt>
                <c:pt idx="201">
                  <c:v>12699.972972973</c:v>
                </c:pt>
                <c:pt idx="202">
                  <c:v>12782.3513513514</c:v>
                </c:pt>
                <c:pt idx="203">
                  <c:v>12864.8378378378</c:v>
                </c:pt>
                <c:pt idx="204">
                  <c:v>12947.4324324324</c:v>
                </c:pt>
                <c:pt idx="205">
                  <c:v>13030.1351351351</c:v>
                </c:pt>
                <c:pt idx="206">
                  <c:v>13112.9459459459</c:v>
                </c:pt>
                <c:pt idx="207">
                  <c:v>13195.8648648649</c:v>
                </c:pt>
                <c:pt idx="208">
                  <c:v>13278.8918918919</c:v>
                </c:pt>
                <c:pt idx="209">
                  <c:v>13362.027027027</c:v>
                </c:pt>
                <c:pt idx="210">
                  <c:v>13445.2702702703</c:v>
                </c:pt>
                <c:pt idx="211">
                  <c:v>13528.6216216216</c:v>
                </c:pt>
                <c:pt idx="212">
                  <c:v>13612.0810810811</c:v>
                </c:pt>
                <c:pt idx="213">
                  <c:v>13695.6486486487</c:v>
                </c:pt>
                <c:pt idx="214">
                  <c:v>13779.3243243243</c:v>
                </c:pt>
                <c:pt idx="215">
                  <c:v>13863.1081081081</c:v>
                </c:pt>
                <c:pt idx="216">
                  <c:v>13947</c:v>
                </c:pt>
                <c:pt idx="217">
                  <c:v>14031</c:v>
                </c:pt>
                <c:pt idx="218">
                  <c:v>14115.1081081081</c:v>
                </c:pt>
                <c:pt idx="219">
                  <c:v>14199.3243243243</c:v>
                </c:pt>
                <c:pt idx="220">
                  <c:v>14283.6486486487</c:v>
                </c:pt>
                <c:pt idx="221">
                  <c:v>14368.0810810811</c:v>
                </c:pt>
                <c:pt idx="222">
                  <c:v>14452.6216216216</c:v>
                </c:pt>
                <c:pt idx="223">
                  <c:v>14537.2702702703</c:v>
                </c:pt>
                <c:pt idx="224">
                  <c:v>14622.027027027</c:v>
                </c:pt>
                <c:pt idx="225">
                  <c:v>14706.8918918919</c:v>
                </c:pt>
                <c:pt idx="226">
                  <c:v>14791.8648648649</c:v>
                </c:pt>
                <c:pt idx="227">
                  <c:v>14876.9459459459</c:v>
                </c:pt>
                <c:pt idx="228">
                  <c:v>14962.1351351351</c:v>
                </c:pt>
                <c:pt idx="229">
                  <c:v>15047.4324324324</c:v>
                </c:pt>
                <c:pt idx="230">
                  <c:v>15132.8378378378</c:v>
                </c:pt>
                <c:pt idx="231">
                  <c:v>15218.3513513514</c:v>
                </c:pt>
                <c:pt idx="232">
                  <c:v>15303.972972973</c:v>
                </c:pt>
                <c:pt idx="233">
                  <c:v>15389.7027027027</c:v>
                </c:pt>
                <c:pt idx="234">
                  <c:v>15475.5405405405</c:v>
                </c:pt>
                <c:pt idx="235">
                  <c:v>15561.4864864865</c:v>
                </c:pt>
                <c:pt idx="236">
                  <c:v>15647.5405405405</c:v>
                </c:pt>
                <c:pt idx="237">
                  <c:v>15733.7027027027</c:v>
                </c:pt>
                <c:pt idx="238">
                  <c:v>15819.972972973</c:v>
                </c:pt>
                <c:pt idx="239">
                  <c:v>15906.3513513514</c:v>
                </c:pt>
                <c:pt idx="240">
                  <c:v>15992.8378378378</c:v>
                </c:pt>
                <c:pt idx="241">
                  <c:v>16079.4324324324</c:v>
                </c:pt>
                <c:pt idx="242">
                  <c:v>16166.1351351351</c:v>
                </c:pt>
                <c:pt idx="243">
                  <c:v>16252.9459459459</c:v>
                </c:pt>
                <c:pt idx="244">
                  <c:v>16339.8648648649</c:v>
                </c:pt>
                <c:pt idx="245">
                  <c:v>16426.8918918919</c:v>
                </c:pt>
                <c:pt idx="246">
                  <c:v>16514.027027027</c:v>
                </c:pt>
                <c:pt idx="247">
                  <c:v>16601.2702702703</c:v>
                </c:pt>
                <c:pt idx="248">
                  <c:v>16688.6216216216</c:v>
                </c:pt>
                <c:pt idx="249">
                  <c:v>16776.0810810811</c:v>
                </c:pt>
                <c:pt idx="250">
                  <c:v>16863.6486486487</c:v>
                </c:pt>
                <c:pt idx="251">
                  <c:v>16951.3243243243</c:v>
                </c:pt>
                <c:pt idx="252">
                  <c:v>17039.1081081081</c:v>
                </c:pt>
                <c:pt idx="253">
                  <c:v>17127</c:v>
                </c:pt>
                <c:pt idx="254">
                  <c:v>17215</c:v>
                </c:pt>
                <c:pt idx="255">
                  <c:v>17303.1081081081</c:v>
                </c:pt>
                <c:pt idx="256">
                  <c:v>17391.3243243243</c:v>
                </c:pt>
                <c:pt idx="257">
                  <c:v>17479.6486486487</c:v>
                </c:pt>
                <c:pt idx="258">
                  <c:v>17568.0810810811</c:v>
                </c:pt>
                <c:pt idx="259">
                  <c:v>17656.6216216216</c:v>
                </c:pt>
                <c:pt idx="260">
                  <c:v>17745.2702702703</c:v>
                </c:pt>
                <c:pt idx="261">
                  <c:v>17834.027027027</c:v>
                </c:pt>
                <c:pt idx="262">
                  <c:v>17922.8918918919</c:v>
                </c:pt>
                <c:pt idx="263">
                  <c:v>18011.8648648649</c:v>
                </c:pt>
                <c:pt idx="264">
                  <c:v>18100.9459459459</c:v>
                </c:pt>
                <c:pt idx="265">
                  <c:v>18190.1351351351</c:v>
                </c:pt>
                <c:pt idx="266">
                  <c:v>18279.4324324324</c:v>
                </c:pt>
                <c:pt idx="267">
                  <c:v>18368.8378378378</c:v>
                </c:pt>
                <c:pt idx="268">
                  <c:v>18458.3513513514</c:v>
                </c:pt>
                <c:pt idx="269">
                  <c:v>18547.972972973</c:v>
                </c:pt>
                <c:pt idx="270">
                  <c:v>18637.7027027027</c:v>
                </c:pt>
                <c:pt idx="271">
                  <c:v>18727.5405405405</c:v>
                </c:pt>
                <c:pt idx="272">
                  <c:v>18817.4864864865</c:v>
                </c:pt>
                <c:pt idx="273">
                  <c:v>18907.5405405405</c:v>
                </c:pt>
                <c:pt idx="274">
                  <c:v>18997.7027027027</c:v>
                </c:pt>
                <c:pt idx="275">
                  <c:v>19087.972972973</c:v>
                </c:pt>
                <c:pt idx="276">
                  <c:v>19178.3513513514</c:v>
                </c:pt>
                <c:pt idx="277">
                  <c:v>19268.8378378378</c:v>
                </c:pt>
                <c:pt idx="278">
                  <c:v>19359.4324324324</c:v>
                </c:pt>
                <c:pt idx="279">
                  <c:v>19450.1351351351</c:v>
                </c:pt>
                <c:pt idx="280">
                  <c:v>19540.9459459459</c:v>
                </c:pt>
                <c:pt idx="281">
                  <c:v>19631.8648648649</c:v>
                </c:pt>
                <c:pt idx="282">
                  <c:v>19722.8918918919</c:v>
                </c:pt>
                <c:pt idx="283">
                  <c:v>19814.027027027</c:v>
                </c:pt>
                <c:pt idx="284">
                  <c:v>19905.2702702703</c:v>
                </c:pt>
                <c:pt idx="285">
                  <c:v>19996.6216216216</c:v>
                </c:pt>
                <c:pt idx="286">
                  <c:v>20088.0810810811</c:v>
                </c:pt>
                <c:pt idx="287">
                  <c:v>20179.6486486487</c:v>
                </c:pt>
                <c:pt idx="288">
                  <c:v>20271.3243243243</c:v>
                </c:pt>
                <c:pt idx="289">
                  <c:v>20363.1081081081</c:v>
                </c:pt>
                <c:pt idx="290">
                  <c:v>20455</c:v>
                </c:pt>
                <c:pt idx="291">
                  <c:v>20547</c:v>
                </c:pt>
                <c:pt idx="292">
                  <c:v>20639.1081081081</c:v>
                </c:pt>
                <c:pt idx="293">
                  <c:v>20731.3243243243</c:v>
                </c:pt>
                <c:pt idx="294">
                  <c:v>20823.6486486487</c:v>
                </c:pt>
                <c:pt idx="295">
                  <c:v>20916.0810810811</c:v>
                </c:pt>
                <c:pt idx="296">
                  <c:v>21008.6216216216</c:v>
                </c:pt>
                <c:pt idx="297">
                  <c:v>21101.2702702703</c:v>
                </c:pt>
                <c:pt idx="298">
                  <c:v>21194.027027027</c:v>
                </c:pt>
                <c:pt idx="299">
                  <c:v>21286.8918918919</c:v>
                </c:pt>
                <c:pt idx="300">
                  <c:v>21379.8648648649</c:v>
                </c:pt>
                <c:pt idx="301">
                  <c:v>21472.9459459459</c:v>
                </c:pt>
                <c:pt idx="302">
                  <c:v>21566.1351351351</c:v>
                </c:pt>
                <c:pt idx="303">
                  <c:v>21659.4324324324</c:v>
                </c:pt>
                <c:pt idx="304">
                  <c:v>21752.8378378378</c:v>
                </c:pt>
                <c:pt idx="305">
                  <c:v>21846.3513513514</c:v>
                </c:pt>
                <c:pt idx="306">
                  <c:v>21939.972972973</c:v>
                </c:pt>
                <c:pt idx="307">
                  <c:v>22033.7027027027</c:v>
                </c:pt>
                <c:pt idx="308">
                  <c:v>22127.5405405405</c:v>
                </c:pt>
                <c:pt idx="309">
                  <c:v>22221.4864864865</c:v>
                </c:pt>
                <c:pt idx="310">
                  <c:v>22315.5405405405</c:v>
                </c:pt>
                <c:pt idx="311">
                  <c:v>22409.7027027027</c:v>
                </c:pt>
                <c:pt idx="312">
                  <c:v>22503.972972973</c:v>
                </c:pt>
                <c:pt idx="313">
                  <c:v>22598.3513513514</c:v>
                </c:pt>
                <c:pt idx="314">
                  <c:v>22692.8378378378</c:v>
                </c:pt>
                <c:pt idx="315">
                  <c:v>22787.4324324324</c:v>
                </c:pt>
                <c:pt idx="316">
                  <c:v>22882.1351351351</c:v>
                </c:pt>
                <c:pt idx="317">
                  <c:v>22976.9459459459</c:v>
                </c:pt>
                <c:pt idx="318">
                  <c:v>23071.8648648649</c:v>
                </c:pt>
                <c:pt idx="319">
                  <c:v>23166.8918918919</c:v>
                </c:pt>
                <c:pt idx="320">
                  <c:v>23262.027027027</c:v>
                </c:pt>
                <c:pt idx="321">
                  <c:v>23357.2702702703</c:v>
                </c:pt>
                <c:pt idx="322">
                  <c:v>23452.6216216216</c:v>
                </c:pt>
                <c:pt idx="323">
                  <c:v>23548.0810810811</c:v>
                </c:pt>
                <c:pt idx="324">
                  <c:v>23643.6486486487</c:v>
                </c:pt>
                <c:pt idx="325">
                  <c:v>23739.3243243243</c:v>
                </c:pt>
                <c:pt idx="326">
                  <c:v>23835.1081081081</c:v>
                </c:pt>
                <c:pt idx="327">
                  <c:v>23931</c:v>
                </c:pt>
                <c:pt idx="328">
                  <c:v>24027</c:v>
                </c:pt>
                <c:pt idx="329">
                  <c:v>24123.1081081081</c:v>
                </c:pt>
                <c:pt idx="330">
                  <c:v>24219.3243243243</c:v>
                </c:pt>
                <c:pt idx="331">
                  <c:v>24315.6486486487</c:v>
                </c:pt>
                <c:pt idx="332">
                  <c:v>24412.0810810811</c:v>
                </c:pt>
                <c:pt idx="333">
                  <c:v>24508.6216216216</c:v>
                </c:pt>
                <c:pt idx="334">
                  <c:v>24605.2702702703</c:v>
                </c:pt>
                <c:pt idx="335">
                  <c:v>24702.027027027</c:v>
                </c:pt>
                <c:pt idx="336">
                  <c:v>24798.8918918919</c:v>
                </c:pt>
                <c:pt idx="337">
                  <c:v>24895.8648648649</c:v>
                </c:pt>
                <c:pt idx="338">
                  <c:v>24992.9459459459</c:v>
                </c:pt>
                <c:pt idx="339">
                  <c:v>25090.1351351351</c:v>
                </c:pt>
                <c:pt idx="340">
                  <c:v>25187.4324324324</c:v>
                </c:pt>
                <c:pt idx="341">
                  <c:v>25284.8378378378</c:v>
                </c:pt>
                <c:pt idx="342">
                  <c:v>25382.3513513514</c:v>
                </c:pt>
                <c:pt idx="343">
                  <c:v>25479.972972973</c:v>
                </c:pt>
                <c:pt idx="344">
                  <c:v>25577.7027027027</c:v>
                </c:pt>
                <c:pt idx="345">
                  <c:v>25675.5405405405</c:v>
                </c:pt>
                <c:pt idx="346">
                  <c:v>25773.4864864865</c:v>
                </c:pt>
                <c:pt idx="347">
                  <c:v>25871.5405405405</c:v>
                </c:pt>
                <c:pt idx="348">
                  <c:v>25969.7027027027</c:v>
                </c:pt>
                <c:pt idx="349">
                  <c:v>26067.972972973</c:v>
                </c:pt>
                <c:pt idx="350">
                  <c:v>26166.3513513514</c:v>
                </c:pt>
                <c:pt idx="351">
                  <c:v>26264.8378378378</c:v>
                </c:pt>
                <c:pt idx="352">
                  <c:v>26363.4324324324</c:v>
                </c:pt>
                <c:pt idx="353">
                  <c:v>26462.1351351351</c:v>
                </c:pt>
                <c:pt idx="354">
                  <c:v>26560.9459459459</c:v>
                </c:pt>
                <c:pt idx="355">
                  <c:v>26659.8648648649</c:v>
                </c:pt>
                <c:pt idx="356">
                  <c:v>26758.8918918919</c:v>
                </c:pt>
                <c:pt idx="357">
                  <c:v>26858.027027027</c:v>
                </c:pt>
                <c:pt idx="358">
                  <c:v>26957.2702702703</c:v>
                </c:pt>
                <c:pt idx="359">
                  <c:v>27056.6216216216</c:v>
                </c:pt>
                <c:pt idx="360">
                  <c:v>27156.0810810811</c:v>
                </c:pt>
                <c:pt idx="361">
                  <c:v>27255.6486486487</c:v>
                </c:pt>
                <c:pt idx="362">
                  <c:v>27355.3243243243</c:v>
                </c:pt>
                <c:pt idx="363">
                  <c:v>27455.1081081081</c:v>
                </c:pt>
                <c:pt idx="364">
                  <c:v>27555</c:v>
                </c:pt>
                <c:pt idx="365">
                  <c:v>27655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2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相对天数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等级</a:t>
                </a:r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  <c:valAx>
        <c:axId val="200"/>
        <c:scaling>
          <c:orientation val="minMax"/>
        </c:scaling>
        <c:delete val="0"/>
        <c:axPos val="r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累计经验</a:t>
                </a:r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max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82ed850-a9a7-4687-a14e-2fe379662c7a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当日 XP 随留存周期增长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'日期-等级经验曲线'!$C$3</c:f>
              <c:strCache>
                <c:ptCount val="1"/>
                <c:pt idx="0">
                  <c:v>当日 XP</c:v>
                </c:pt>
              </c:strCache>
            </c:strRef>
          </c:tx>
          <c:spPr>
            <a:ln w="6350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'日期-等级经验曲线'!$B$4:$B$369</c:f>
              <c:numCache>
                <c:formatCode>#,##0</c:formatCode>
                <c:ptCount val="366"/>
                <c:pt idx="0" c:formatCode="#,##0">
                  <c:v>0</c:v>
                </c:pt>
                <c:pt idx="1" c:formatCode="#,##0">
                  <c:v>1</c:v>
                </c:pt>
                <c:pt idx="2" c:formatCode="#,##0">
                  <c:v>2</c:v>
                </c:pt>
                <c:pt idx="3" c:formatCode="#,##0">
                  <c:v>3</c:v>
                </c:pt>
                <c:pt idx="4" c:formatCode="#,##0">
                  <c:v>4</c:v>
                </c:pt>
                <c:pt idx="5" c:formatCode="#,##0">
                  <c:v>5</c:v>
                </c:pt>
                <c:pt idx="6" c:formatCode="#,##0">
                  <c:v>6</c:v>
                </c:pt>
                <c:pt idx="7" c:formatCode="#,##0">
                  <c:v>7</c:v>
                </c:pt>
                <c:pt idx="8" c:formatCode="#,##0">
                  <c:v>8</c:v>
                </c:pt>
                <c:pt idx="9" c:formatCode="#,##0">
                  <c:v>9</c:v>
                </c:pt>
                <c:pt idx="10" c:formatCode="#,##0">
                  <c:v>10</c:v>
                </c:pt>
                <c:pt idx="11" c:formatCode="#,##0">
                  <c:v>11</c:v>
                </c:pt>
                <c:pt idx="12" c:formatCode="#,##0">
                  <c:v>12</c:v>
                </c:pt>
                <c:pt idx="13" c:formatCode="#,##0">
                  <c:v>13</c:v>
                </c:pt>
                <c:pt idx="14" c:formatCode="#,##0">
                  <c:v>14</c:v>
                </c:pt>
                <c:pt idx="15" c:formatCode="#,##0">
                  <c:v>15</c:v>
                </c:pt>
                <c:pt idx="16" c:formatCode="#,##0">
                  <c:v>16</c:v>
                </c:pt>
                <c:pt idx="17" c:formatCode="#,##0">
                  <c:v>17</c:v>
                </c:pt>
                <c:pt idx="18" c:formatCode="#,##0">
                  <c:v>18</c:v>
                </c:pt>
                <c:pt idx="19" c:formatCode="#,##0">
                  <c:v>19</c:v>
                </c:pt>
                <c:pt idx="20" c:formatCode="#,##0">
                  <c:v>20</c:v>
                </c:pt>
                <c:pt idx="21" c:formatCode="#,##0">
                  <c:v>21</c:v>
                </c:pt>
                <c:pt idx="22" c:formatCode="#,##0">
                  <c:v>22</c:v>
                </c:pt>
                <c:pt idx="23" c:formatCode="#,##0">
                  <c:v>23</c:v>
                </c:pt>
                <c:pt idx="24" c:formatCode="#,##0">
                  <c:v>24</c:v>
                </c:pt>
                <c:pt idx="25" c:formatCode="#,##0">
                  <c:v>25</c:v>
                </c:pt>
                <c:pt idx="26" c:formatCode="#,##0">
                  <c:v>26</c:v>
                </c:pt>
                <c:pt idx="27" c:formatCode="#,##0">
                  <c:v>27</c:v>
                </c:pt>
                <c:pt idx="28" c:formatCode="#,##0">
                  <c:v>28</c:v>
                </c:pt>
                <c:pt idx="29" c:formatCode="#,##0">
                  <c:v>29</c:v>
                </c:pt>
                <c:pt idx="30" c:formatCode="#,##0">
                  <c:v>30</c:v>
                </c:pt>
                <c:pt idx="31" c:formatCode="#,##0">
                  <c:v>31</c:v>
                </c:pt>
                <c:pt idx="32" c:formatCode="#,##0">
                  <c:v>32</c:v>
                </c:pt>
                <c:pt idx="33" c:formatCode="#,##0">
                  <c:v>33</c:v>
                </c:pt>
                <c:pt idx="34" c:formatCode="#,##0">
                  <c:v>34</c:v>
                </c:pt>
                <c:pt idx="35" c:formatCode="#,##0">
                  <c:v>35</c:v>
                </c:pt>
                <c:pt idx="36" c:formatCode="#,##0">
                  <c:v>36</c:v>
                </c:pt>
                <c:pt idx="37" c:formatCode="#,##0">
                  <c:v>37</c:v>
                </c:pt>
                <c:pt idx="38" c:formatCode="#,##0">
                  <c:v>38</c:v>
                </c:pt>
                <c:pt idx="39" c:formatCode="#,##0">
                  <c:v>39</c:v>
                </c:pt>
                <c:pt idx="40" c:formatCode="#,##0">
                  <c:v>40</c:v>
                </c:pt>
                <c:pt idx="41" c:formatCode="#,##0">
                  <c:v>41</c:v>
                </c:pt>
                <c:pt idx="42" c:formatCode="#,##0">
                  <c:v>42</c:v>
                </c:pt>
                <c:pt idx="43" c:formatCode="#,##0">
                  <c:v>43</c:v>
                </c:pt>
                <c:pt idx="44" c:formatCode="#,##0">
                  <c:v>44</c:v>
                </c:pt>
                <c:pt idx="45" c:formatCode="#,##0">
                  <c:v>45</c:v>
                </c:pt>
                <c:pt idx="46" c:formatCode="#,##0">
                  <c:v>46</c:v>
                </c:pt>
                <c:pt idx="47" c:formatCode="#,##0">
                  <c:v>47</c:v>
                </c:pt>
                <c:pt idx="48" c:formatCode="#,##0">
                  <c:v>48</c:v>
                </c:pt>
                <c:pt idx="49" c:formatCode="#,##0">
                  <c:v>49</c:v>
                </c:pt>
                <c:pt idx="50" c:formatCode="#,##0">
                  <c:v>50</c:v>
                </c:pt>
                <c:pt idx="51" c:formatCode="#,##0">
                  <c:v>51</c:v>
                </c:pt>
                <c:pt idx="52" c:formatCode="#,##0">
                  <c:v>52</c:v>
                </c:pt>
                <c:pt idx="53" c:formatCode="#,##0">
                  <c:v>53</c:v>
                </c:pt>
                <c:pt idx="54" c:formatCode="#,##0">
                  <c:v>54</c:v>
                </c:pt>
                <c:pt idx="55" c:formatCode="#,##0">
                  <c:v>55</c:v>
                </c:pt>
                <c:pt idx="56" c:formatCode="#,##0">
                  <c:v>56</c:v>
                </c:pt>
                <c:pt idx="57" c:formatCode="#,##0">
                  <c:v>57</c:v>
                </c:pt>
                <c:pt idx="58" c:formatCode="#,##0">
                  <c:v>58</c:v>
                </c:pt>
                <c:pt idx="59" c:formatCode="#,##0">
                  <c:v>59</c:v>
                </c:pt>
                <c:pt idx="60" c:formatCode="#,##0">
                  <c:v>60</c:v>
                </c:pt>
                <c:pt idx="61" c:formatCode="#,##0">
                  <c:v>61</c:v>
                </c:pt>
                <c:pt idx="62" c:formatCode="#,##0">
                  <c:v>62</c:v>
                </c:pt>
                <c:pt idx="63" c:formatCode="#,##0">
                  <c:v>63</c:v>
                </c:pt>
                <c:pt idx="64" c:formatCode="#,##0">
                  <c:v>64</c:v>
                </c:pt>
                <c:pt idx="65" c:formatCode="#,##0">
                  <c:v>65</c:v>
                </c:pt>
                <c:pt idx="66" c:formatCode="#,##0">
                  <c:v>66</c:v>
                </c:pt>
                <c:pt idx="67" c:formatCode="#,##0">
                  <c:v>67</c:v>
                </c:pt>
                <c:pt idx="68" c:formatCode="#,##0">
                  <c:v>68</c:v>
                </c:pt>
                <c:pt idx="69" c:formatCode="#,##0">
                  <c:v>69</c:v>
                </c:pt>
                <c:pt idx="70" c:formatCode="#,##0">
                  <c:v>70</c:v>
                </c:pt>
                <c:pt idx="71" c:formatCode="#,##0">
                  <c:v>71</c:v>
                </c:pt>
                <c:pt idx="72" c:formatCode="#,##0">
                  <c:v>72</c:v>
                </c:pt>
                <c:pt idx="73" c:formatCode="#,##0">
                  <c:v>73</c:v>
                </c:pt>
                <c:pt idx="74" c:formatCode="#,##0">
                  <c:v>74</c:v>
                </c:pt>
                <c:pt idx="75" c:formatCode="#,##0">
                  <c:v>75</c:v>
                </c:pt>
                <c:pt idx="76" c:formatCode="#,##0">
                  <c:v>76</c:v>
                </c:pt>
                <c:pt idx="77" c:formatCode="#,##0">
                  <c:v>77</c:v>
                </c:pt>
                <c:pt idx="78" c:formatCode="#,##0">
                  <c:v>78</c:v>
                </c:pt>
                <c:pt idx="79" c:formatCode="#,##0">
                  <c:v>79</c:v>
                </c:pt>
                <c:pt idx="80" c:formatCode="#,##0">
                  <c:v>80</c:v>
                </c:pt>
                <c:pt idx="81" c:formatCode="#,##0">
                  <c:v>81</c:v>
                </c:pt>
                <c:pt idx="82" c:formatCode="#,##0">
                  <c:v>82</c:v>
                </c:pt>
                <c:pt idx="83" c:formatCode="#,##0">
                  <c:v>83</c:v>
                </c:pt>
                <c:pt idx="84" c:formatCode="#,##0">
                  <c:v>84</c:v>
                </c:pt>
                <c:pt idx="85" c:formatCode="#,##0">
                  <c:v>85</c:v>
                </c:pt>
                <c:pt idx="86" c:formatCode="#,##0">
                  <c:v>86</c:v>
                </c:pt>
                <c:pt idx="87" c:formatCode="#,##0">
                  <c:v>87</c:v>
                </c:pt>
                <c:pt idx="88" c:formatCode="#,##0">
                  <c:v>88</c:v>
                </c:pt>
                <c:pt idx="89" c:formatCode="#,##0">
                  <c:v>89</c:v>
                </c:pt>
                <c:pt idx="90" c:formatCode="#,##0">
                  <c:v>90</c:v>
                </c:pt>
                <c:pt idx="91" c:formatCode="#,##0">
                  <c:v>91</c:v>
                </c:pt>
                <c:pt idx="92" c:formatCode="#,##0">
                  <c:v>92</c:v>
                </c:pt>
                <c:pt idx="93" c:formatCode="#,##0">
                  <c:v>93</c:v>
                </c:pt>
                <c:pt idx="94" c:formatCode="#,##0">
                  <c:v>94</c:v>
                </c:pt>
                <c:pt idx="95" c:formatCode="#,##0">
                  <c:v>95</c:v>
                </c:pt>
                <c:pt idx="96" c:formatCode="#,##0">
                  <c:v>96</c:v>
                </c:pt>
                <c:pt idx="97" c:formatCode="#,##0">
                  <c:v>97</c:v>
                </c:pt>
                <c:pt idx="98" c:formatCode="#,##0">
                  <c:v>98</c:v>
                </c:pt>
                <c:pt idx="99" c:formatCode="#,##0">
                  <c:v>99</c:v>
                </c:pt>
                <c:pt idx="100" c:formatCode="#,##0">
                  <c:v>100</c:v>
                </c:pt>
                <c:pt idx="101" c:formatCode="#,##0">
                  <c:v>101</c:v>
                </c:pt>
                <c:pt idx="102" c:formatCode="#,##0">
                  <c:v>102</c:v>
                </c:pt>
                <c:pt idx="103" c:formatCode="#,##0">
                  <c:v>103</c:v>
                </c:pt>
                <c:pt idx="104" c:formatCode="#,##0">
                  <c:v>104</c:v>
                </c:pt>
                <c:pt idx="105" c:formatCode="#,##0">
                  <c:v>105</c:v>
                </c:pt>
                <c:pt idx="106" c:formatCode="#,##0">
                  <c:v>106</c:v>
                </c:pt>
                <c:pt idx="107" c:formatCode="#,##0">
                  <c:v>107</c:v>
                </c:pt>
                <c:pt idx="108" c:formatCode="#,##0">
                  <c:v>108</c:v>
                </c:pt>
                <c:pt idx="109" c:formatCode="#,##0">
                  <c:v>109</c:v>
                </c:pt>
                <c:pt idx="110" c:formatCode="#,##0">
                  <c:v>110</c:v>
                </c:pt>
                <c:pt idx="111" c:formatCode="#,##0">
                  <c:v>111</c:v>
                </c:pt>
                <c:pt idx="112" c:formatCode="#,##0">
                  <c:v>112</c:v>
                </c:pt>
                <c:pt idx="113" c:formatCode="#,##0">
                  <c:v>113</c:v>
                </c:pt>
                <c:pt idx="114" c:formatCode="#,##0">
                  <c:v>114</c:v>
                </c:pt>
                <c:pt idx="115" c:formatCode="#,##0">
                  <c:v>115</c:v>
                </c:pt>
                <c:pt idx="116" c:formatCode="#,##0">
                  <c:v>116</c:v>
                </c:pt>
                <c:pt idx="117" c:formatCode="#,##0">
                  <c:v>117</c:v>
                </c:pt>
                <c:pt idx="118" c:formatCode="#,##0">
                  <c:v>118</c:v>
                </c:pt>
                <c:pt idx="119" c:formatCode="#,##0">
                  <c:v>119</c:v>
                </c:pt>
                <c:pt idx="120" c:formatCode="#,##0">
                  <c:v>120</c:v>
                </c:pt>
                <c:pt idx="121" c:formatCode="#,##0">
                  <c:v>121</c:v>
                </c:pt>
                <c:pt idx="122" c:formatCode="#,##0">
                  <c:v>122</c:v>
                </c:pt>
                <c:pt idx="123" c:formatCode="#,##0">
                  <c:v>123</c:v>
                </c:pt>
                <c:pt idx="124" c:formatCode="#,##0">
                  <c:v>124</c:v>
                </c:pt>
                <c:pt idx="125" c:formatCode="#,##0">
                  <c:v>125</c:v>
                </c:pt>
                <c:pt idx="126" c:formatCode="#,##0">
                  <c:v>126</c:v>
                </c:pt>
                <c:pt idx="127" c:formatCode="#,##0">
                  <c:v>127</c:v>
                </c:pt>
                <c:pt idx="128" c:formatCode="#,##0">
                  <c:v>128</c:v>
                </c:pt>
                <c:pt idx="129" c:formatCode="#,##0">
                  <c:v>129</c:v>
                </c:pt>
                <c:pt idx="130" c:formatCode="#,##0">
                  <c:v>130</c:v>
                </c:pt>
                <c:pt idx="131" c:formatCode="#,##0">
                  <c:v>131</c:v>
                </c:pt>
                <c:pt idx="132" c:formatCode="#,##0">
                  <c:v>132</c:v>
                </c:pt>
                <c:pt idx="133" c:formatCode="#,##0">
                  <c:v>133</c:v>
                </c:pt>
                <c:pt idx="134" c:formatCode="#,##0">
                  <c:v>134</c:v>
                </c:pt>
                <c:pt idx="135" c:formatCode="#,##0">
                  <c:v>135</c:v>
                </c:pt>
                <c:pt idx="136" c:formatCode="#,##0">
                  <c:v>136</c:v>
                </c:pt>
                <c:pt idx="137" c:formatCode="#,##0">
                  <c:v>137</c:v>
                </c:pt>
                <c:pt idx="138" c:formatCode="#,##0">
                  <c:v>138</c:v>
                </c:pt>
                <c:pt idx="139" c:formatCode="#,##0">
                  <c:v>139</c:v>
                </c:pt>
                <c:pt idx="140" c:formatCode="#,##0">
                  <c:v>140</c:v>
                </c:pt>
                <c:pt idx="141" c:formatCode="#,##0">
                  <c:v>141</c:v>
                </c:pt>
                <c:pt idx="142" c:formatCode="#,##0">
                  <c:v>142</c:v>
                </c:pt>
                <c:pt idx="143" c:formatCode="#,##0">
                  <c:v>143</c:v>
                </c:pt>
                <c:pt idx="144" c:formatCode="#,##0">
                  <c:v>144</c:v>
                </c:pt>
                <c:pt idx="145" c:formatCode="#,##0">
                  <c:v>145</c:v>
                </c:pt>
                <c:pt idx="146" c:formatCode="#,##0">
                  <c:v>146</c:v>
                </c:pt>
                <c:pt idx="147" c:formatCode="#,##0">
                  <c:v>147</c:v>
                </c:pt>
                <c:pt idx="148" c:formatCode="#,##0">
                  <c:v>148</c:v>
                </c:pt>
                <c:pt idx="149" c:formatCode="#,##0">
                  <c:v>149</c:v>
                </c:pt>
                <c:pt idx="150" c:formatCode="#,##0">
                  <c:v>150</c:v>
                </c:pt>
                <c:pt idx="151" c:formatCode="#,##0">
                  <c:v>151</c:v>
                </c:pt>
                <c:pt idx="152" c:formatCode="#,##0">
                  <c:v>152</c:v>
                </c:pt>
                <c:pt idx="153" c:formatCode="#,##0">
                  <c:v>153</c:v>
                </c:pt>
                <c:pt idx="154" c:formatCode="#,##0">
                  <c:v>154</c:v>
                </c:pt>
                <c:pt idx="155" c:formatCode="#,##0">
                  <c:v>155</c:v>
                </c:pt>
                <c:pt idx="156" c:formatCode="#,##0">
                  <c:v>156</c:v>
                </c:pt>
                <c:pt idx="157" c:formatCode="#,##0">
                  <c:v>157</c:v>
                </c:pt>
                <c:pt idx="158" c:formatCode="#,##0">
                  <c:v>158</c:v>
                </c:pt>
                <c:pt idx="159" c:formatCode="#,##0">
                  <c:v>159</c:v>
                </c:pt>
                <c:pt idx="160" c:formatCode="#,##0">
                  <c:v>160</c:v>
                </c:pt>
                <c:pt idx="161" c:formatCode="#,##0">
                  <c:v>161</c:v>
                </c:pt>
                <c:pt idx="162" c:formatCode="#,##0">
                  <c:v>162</c:v>
                </c:pt>
                <c:pt idx="163" c:formatCode="#,##0">
                  <c:v>163</c:v>
                </c:pt>
                <c:pt idx="164" c:formatCode="#,##0">
                  <c:v>164</c:v>
                </c:pt>
                <c:pt idx="165" c:formatCode="#,##0">
                  <c:v>165</c:v>
                </c:pt>
                <c:pt idx="166" c:formatCode="#,##0">
                  <c:v>166</c:v>
                </c:pt>
                <c:pt idx="167" c:formatCode="#,##0">
                  <c:v>167</c:v>
                </c:pt>
                <c:pt idx="168" c:formatCode="#,##0">
                  <c:v>168</c:v>
                </c:pt>
                <c:pt idx="169" c:formatCode="#,##0">
                  <c:v>169</c:v>
                </c:pt>
                <c:pt idx="170" c:formatCode="#,##0">
                  <c:v>170</c:v>
                </c:pt>
                <c:pt idx="171" c:formatCode="#,##0">
                  <c:v>171</c:v>
                </c:pt>
                <c:pt idx="172" c:formatCode="#,##0">
                  <c:v>172</c:v>
                </c:pt>
                <c:pt idx="173" c:formatCode="#,##0">
                  <c:v>173</c:v>
                </c:pt>
                <c:pt idx="174" c:formatCode="#,##0">
                  <c:v>174</c:v>
                </c:pt>
                <c:pt idx="175" c:formatCode="#,##0">
                  <c:v>175</c:v>
                </c:pt>
                <c:pt idx="176" c:formatCode="#,##0">
                  <c:v>176</c:v>
                </c:pt>
                <c:pt idx="177" c:formatCode="#,##0">
                  <c:v>177</c:v>
                </c:pt>
                <c:pt idx="178" c:formatCode="#,##0">
                  <c:v>178</c:v>
                </c:pt>
                <c:pt idx="179" c:formatCode="#,##0">
                  <c:v>179</c:v>
                </c:pt>
                <c:pt idx="180" c:formatCode="#,##0">
                  <c:v>180</c:v>
                </c:pt>
                <c:pt idx="181" c:formatCode="#,##0">
                  <c:v>181</c:v>
                </c:pt>
                <c:pt idx="182" c:formatCode="#,##0">
                  <c:v>182</c:v>
                </c:pt>
                <c:pt idx="183" c:formatCode="#,##0">
                  <c:v>183</c:v>
                </c:pt>
                <c:pt idx="184" c:formatCode="#,##0">
                  <c:v>184</c:v>
                </c:pt>
                <c:pt idx="185" c:formatCode="#,##0">
                  <c:v>185</c:v>
                </c:pt>
                <c:pt idx="186" c:formatCode="#,##0">
                  <c:v>186</c:v>
                </c:pt>
                <c:pt idx="187" c:formatCode="#,##0">
                  <c:v>187</c:v>
                </c:pt>
                <c:pt idx="188" c:formatCode="#,##0">
                  <c:v>188</c:v>
                </c:pt>
                <c:pt idx="189" c:formatCode="#,##0">
                  <c:v>189</c:v>
                </c:pt>
                <c:pt idx="190" c:formatCode="#,##0">
                  <c:v>190</c:v>
                </c:pt>
                <c:pt idx="191" c:formatCode="#,##0">
                  <c:v>191</c:v>
                </c:pt>
                <c:pt idx="192" c:formatCode="#,##0">
                  <c:v>192</c:v>
                </c:pt>
                <c:pt idx="193" c:formatCode="#,##0">
                  <c:v>193</c:v>
                </c:pt>
                <c:pt idx="194" c:formatCode="#,##0">
                  <c:v>194</c:v>
                </c:pt>
                <c:pt idx="195" c:formatCode="#,##0">
                  <c:v>195</c:v>
                </c:pt>
                <c:pt idx="196" c:formatCode="#,##0">
                  <c:v>196</c:v>
                </c:pt>
                <c:pt idx="197" c:formatCode="#,##0">
                  <c:v>197</c:v>
                </c:pt>
                <c:pt idx="198" c:formatCode="#,##0">
                  <c:v>198</c:v>
                </c:pt>
                <c:pt idx="199" c:formatCode="#,##0">
                  <c:v>199</c:v>
                </c:pt>
                <c:pt idx="200" c:formatCode="#,##0">
                  <c:v>200</c:v>
                </c:pt>
                <c:pt idx="201" c:formatCode="#,##0">
                  <c:v>201</c:v>
                </c:pt>
                <c:pt idx="202" c:formatCode="#,##0">
                  <c:v>202</c:v>
                </c:pt>
                <c:pt idx="203" c:formatCode="#,##0">
                  <c:v>203</c:v>
                </c:pt>
                <c:pt idx="204" c:formatCode="#,##0">
                  <c:v>204</c:v>
                </c:pt>
                <c:pt idx="205" c:formatCode="#,##0">
                  <c:v>205</c:v>
                </c:pt>
                <c:pt idx="206" c:formatCode="#,##0">
                  <c:v>206</c:v>
                </c:pt>
                <c:pt idx="207" c:formatCode="#,##0">
                  <c:v>207</c:v>
                </c:pt>
                <c:pt idx="208" c:formatCode="#,##0">
                  <c:v>208</c:v>
                </c:pt>
                <c:pt idx="209" c:formatCode="#,##0">
                  <c:v>209</c:v>
                </c:pt>
                <c:pt idx="210" c:formatCode="#,##0">
                  <c:v>210</c:v>
                </c:pt>
                <c:pt idx="211" c:formatCode="#,##0">
                  <c:v>211</c:v>
                </c:pt>
                <c:pt idx="212" c:formatCode="#,##0">
                  <c:v>212</c:v>
                </c:pt>
                <c:pt idx="213" c:formatCode="#,##0">
                  <c:v>213</c:v>
                </c:pt>
                <c:pt idx="214" c:formatCode="#,##0">
                  <c:v>214</c:v>
                </c:pt>
                <c:pt idx="215" c:formatCode="#,##0">
                  <c:v>215</c:v>
                </c:pt>
                <c:pt idx="216" c:formatCode="#,##0">
                  <c:v>216</c:v>
                </c:pt>
                <c:pt idx="217" c:formatCode="#,##0">
                  <c:v>217</c:v>
                </c:pt>
                <c:pt idx="218" c:formatCode="#,##0">
                  <c:v>218</c:v>
                </c:pt>
                <c:pt idx="219" c:formatCode="#,##0">
                  <c:v>219</c:v>
                </c:pt>
                <c:pt idx="220" c:formatCode="#,##0">
                  <c:v>220</c:v>
                </c:pt>
                <c:pt idx="221" c:formatCode="#,##0">
                  <c:v>221</c:v>
                </c:pt>
                <c:pt idx="222" c:formatCode="#,##0">
                  <c:v>222</c:v>
                </c:pt>
                <c:pt idx="223" c:formatCode="#,##0">
                  <c:v>223</c:v>
                </c:pt>
                <c:pt idx="224" c:formatCode="#,##0">
                  <c:v>224</c:v>
                </c:pt>
                <c:pt idx="225" c:formatCode="#,##0">
                  <c:v>225</c:v>
                </c:pt>
                <c:pt idx="226" c:formatCode="#,##0">
                  <c:v>226</c:v>
                </c:pt>
                <c:pt idx="227" c:formatCode="#,##0">
                  <c:v>227</c:v>
                </c:pt>
                <c:pt idx="228" c:formatCode="#,##0">
                  <c:v>228</c:v>
                </c:pt>
                <c:pt idx="229" c:formatCode="#,##0">
                  <c:v>229</c:v>
                </c:pt>
                <c:pt idx="230" c:formatCode="#,##0">
                  <c:v>230</c:v>
                </c:pt>
                <c:pt idx="231" c:formatCode="#,##0">
                  <c:v>231</c:v>
                </c:pt>
                <c:pt idx="232" c:formatCode="#,##0">
                  <c:v>232</c:v>
                </c:pt>
                <c:pt idx="233" c:formatCode="#,##0">
                  <c:v>233</c:v>
                </c:pt>
                <c:pt idx="234" c:formatCode="#,##0">
                  <c:v>234</c:v>
                </c:pt>
                <c:pt idx="235" c:formatCode="#,##0">
                  <c:v>235</c:v>
                </c:pt>
                <c:pt idx="236" c:formatCode="#,##0">
                  <c:v>236</c:v>
                </c:pt>
                <c:pt idx="237" c:formatCode="#,##0">
                  <c:v>237</c:v>
                </c:pt>
                <c:pt idx="238" c:formatCode="#,##0">
                  <c:v>238</c:v>
                </c:pt>
                <c:pt idx="239" c:formatCode="#,##0">
                  <c:v>239</c:v>
                </c:pt>
                <c:pt idx="240" c:formatCode="#,##0">
                  <c:v>240</c:v>
                </c:pt>
                <c:pt idx="241" c:formatCode="#,##0">
                  <c:v>241</c:v>
                </c:pt>
                <c:pt idx="242" c:formatCode="#,##0">
                  <c:v>242</c:v>
                </c:pt>
                <c:pt idx="243" c:formatCode="#,##0">
                  <c:v>243</c:v>
                </c:pt>
                <c:pt idx="244" c:formatCode="#,##0">
                  <c:v>244</c:v>
                </c:pt>
                <c:pt idx="245" c:formatCode="#,##0">
                  <c:v>245</c:v>
                </c:pt>
                <c:pt idx="246" c:formatCode="#,##0">
                  <c:v>246</c:v>
                </c:pt>
                <c:pt idx="247" c:formatCode="#,##0">
                  <c:v>247</c:v>
                </c:pt>
                <c:pt idx="248" c:formatCode="#,##0">
                  <c:v>248</c:v>
                </c:pt>
                <c:pt idx="249" c:formatCode="#,##0">
                  <c:v>249</c:v>
                </c:pt>
                <c:pt idx="250" c:formatCode="#,##0">
                  <c:v>250</c:v>
                </c:pt>
                <c:pt idx="251" c:formatCode="#,##0">
                  <c:v>251</c:v>
                </c:pt>
                <c:pt idx="252" c:formatCode="#,##0">
                  <c:v>252</c:v>
                </c:pt>
                <c:pt idx="253" c:formatCode="#,##0">
                  <c:v>253</c:v>
                </c:pt>
                <c:pt idx="254" c:formatCode="#,##0">
                  <c:v>254</c:v>
                </c:pt>
                <c:pt idx="255" c:formatCode="#,##0">
                  <c:v>255</c:v>
                </c:pt>
                <c:pt idx="256" c:formatCode="#,##0">
                  <c:v>256</c:v>
                </c:pt>
                <c:pt idx="257" c:formatCode="#,##0">
                  <c:v>257</c:v>
                </c:pt>
                <c:pt idx="258" c:formatCode="#,##0">
                  <c:v>258</c:v>
                </c:pt>
                <c:pt idx="259" c:formatCode="#,##0">
                  <c:v>259</c:v>
                </c:pt>
                <c:pt idx="260" c:formatCode="#,##0">
                  <c:v>260</c:v>
                </c:pt>
                <c:pt idx="261" c:formatCode="#,##0">
                  <c:v>261</c:v>
                </c:pt>
                <c:pt idx="262" c:formatCode="#,##0">
                  <c:v>262</c:v>
                </c:pt>
                <c:pt idx="263" c:formatCode="#,##0">
                  <c:v>263</c:v>
                </c:pt>
                <c:pt idx="264" c:formatCode="#,##0">
                  <c:v>264</c:v>
                </c:pt>
                <c:pt idx="265" c:formatCode="#,##0">
                  <c:v>265</c:v>
                </c:pt>
                <c:pt idx="266" c:formatCode="#,##0">
                  <c:v>266</c:v>
                </c:pt>
                <c:pt idx="267" c:formatCode="#,##0">
                  <c:v>267</c:v>
                </c:pt>
                <c:pt idx="268" c:formatCode="#,##0">
                  <c:v>268</c:v>
                </c:pt>
                <c:pt idx="269" c:formatCode="#,##0">
                  <c:v>269</c:v>
                </c:pt>
                <c:pt idx="270" c:formatCode="#,##0">
                  <c:v>270</c:v>
                </c:pt>
                <c:pt idx="271" c:formatCode="#,##0">
                  <c:v>271</c:v>
                </c:pt>
                <c:pt idx="272" c:formatCode="#,##0">
                  <c:v>272</c:v>
                </c:pt>
                <c:pt idx="273" c:formatCode="#,##0">
                  <c:v>273</c:v>
                </c:pt>
                <c:pt idx="274" c:formatCode="#,##0">
                  <c:v>274</c:v>
                </c:pt>
                <c:pt idx="275" c:formatCode="#,##0">
                  <c:v>275</c:v>
                </c:pt>
                <c:pt idx="276" c:formatCode="#,##0">
                  <c:v>276</c:v>
                </c:pt>
                <c:pt idx="277" c:formatCode="#,##0">
                  <c:v>277</c:v>
                </c:pt>
                <c:pt idx="278" c:formatCode="#,##0">
                  <c:v>278</c:v>
                </c:pt>
                <c:pt idx="279" c:formatCode="#,##0">
                  <c:v>279</c:v>
                </c:pt>
                <c:pt idx="280" c:formatCode="#,##0">
                  <c:v>280</c:v>
                </c:pt>
                <c:pt idx="281" c:formatCode="#,##0">
                  <c:v>281</c:v>
                </c:pt>
                <c:pt idx="282" c:formatCode="#,##0">
                  <c:v>282</c:v>
                </c:pt>
                <c:pt idx="283" c:formatCode="#,##0">
                  <c:v>283</c:v>
                </c:pt>
                <c:pt idx="284" c:formatCode="#,##0">
                  <c:v>284</c:v>
                </c:pt>
                <c:pt idx="285" c:formatCode="#,##0">
                  <c:v>285</c:v>
                </c:pt>
                <c:pt idx="286" c:formatCode="#,##0">
                  <c:v>286</c:v>
                </c:pt>
                <c:pt idx="287" c:formatCode="#,##0">
                  <c:v>287</c:v>
                </c:pt>
                <c:pt idx="288" c:formatCode="#,##0">
                  <c:v>288</c:v>
                </c:pt>
                <c:pt idx="289" c:formatCode="#,##0">
                  <c:v>289</c:v>
                </c:pt>
                <c:pt idx="290" c:formatCode="#,##0">
                  <c:v>290</c:v>
                </c:pt>
                <c:pt idx="291" c:formatCode="#,##0">
                  <c:v>291</c:v>
                </c:pt>
                <c:pt idx="292" c:formatCode="#,##0">
                  <c:v>292</c:v>
                </c:pt>
                <c:pt idx="293" c:formatCode="#,##0">
                  <c:v>293</c:v>
                </c:pt>
                <c:pt idx="294" c:formatCode="#,##0">
                  <c:v>294</c:v>
                </c:pt>
                <c:pt idx="295" c:formatCode="#,##0">
                  <c:v>295</c:v>
                </c:pt>
                <c:pt idx="296" c:formatCode="#,##0">
                  <c:v>296</c:v>
                </c:pt>
                <c:pt idx="297" c:formatCode="#,##0">
                  <c:v>297</c:v>
                </c:pt>
                <c:pt idx="298" c:formatCode="#,##0">
                  <c:v>298</c:v>
                </c:pt>
                <c:pt idx="299" c:formatCode="#,##0">
                  <c:v>299</c:v>
                </c:pt>
                <c:pt idx="300" c:formatCode="#,##0">
                  <c:v>300</c:v>
                </c:pt>
                <c:pt idx="301" c:formatCode="#,##0">
                  <c:v>301</c:v>
                </c:pt>
                <c:pt idx="302" c:formatCode="#,##0">
                  <c:v>302</c:v>
                </c:pt>
                <c:pt idx="303" c:formatCode="#,##0">
                  <c:v>303</c:v>
                </c:pt>
                <c:pt idx="304" c:formatCode="#,##0">
                  <c:v>304</c:v>
                </c:pt>
                <c:pt idx="305" c:formatCode="#,##0">
                  <c:v>305</c:v>
                </c:pt>
                <c:pt idx="306" c:formatCode="#,##0">
                  <c:v>306</c:v>
                </c:pt>
                <c:pt idx="307" c:formatCode="#,##0">
                  <c:v>307</c:v>
                </c:pt>
                <c:pt idx="308" c:formatCode="#,##0">
                  <c:v>308</c:v>
                </c:pt>
                <c:pt idx="309" c:formatCode="#,##0">
                  <c:v>309</c:v>
                </c:pt>
                <c:pt idx="310" c:formatCode="#,##0">
                  <c:v>310</c:v>
                </c:pt>
                <c:pt idx="311" c:formatCode="#,##0">
                  <c:v>311</c:v>
                </c:pt>
                <c:pt idx="312" c:formatCode="#,##0">
                  <c:v>312</c:v>
                </c:pt>
                <c:pt idx="313" c:formatCode="#,##0">
                  <c:v>313</c:v>
                </c:pt>
                <c:pt idx="314" c:formatCode="#,##0">
                  <c:v>314</c:v>
                </c:pt>
                <c:pt idx="315" c:formatCode="#,##0">
                  <c:v>315</c:v>
                </c:pt>
                <c:pt idx="316" c:formatCode="#,##0">
                  <c:v>316</c:v>
                </c:pt>
                <c:pt idx="317" c:formatCode="#,##0">
                  <c:v>317</c:v>
                </c:pt>
                <c:pt idx="318" c:formatCode="#,##0">
                  <c:v>318</c:v>
                </c:pt>
                <c:pt idx="319" c:formatCode="#,##0">
                  <c:v>319</c:v>
                </c:pt>
                <c:pt idx="320" c:formatCode="#,##0">
                  <c:v>320</c:v>
                </c:pt>
                <c:pt idx="321" c:formatCode="#,##0">
                  <c:v>321</c:v>
                </c:pt>
                <c:pt idx="322" c:formatCode="#,##0">
                  <c:v>322</c:v>
                </c:pt>
                <c:pt idx="323" c:formatCode="#,##0">
                  <c:v>323</c:v>
                </c:pt>
                <c:pt idx="324" c:formatCode="#,##0">
                  <c:v>324</c:v>
                </c:pt>
                <c:pt idx="325" c:formatCode="#,##0">
                  <c:v>325</c:v>
                </c:pt>
                <c:pt idx="326" c:formatCode="#,##0">
                  <c:v>326</c:v>
                </c:pt>
                <c:pt idx="327" c:formatCode="#,##0">
                  <c:v>327</c:v>
                </c:pt>
                <c:pt idx="328" c:formatCode="#,##0">
                  <c:v>328</c:v>
                </c:pt>
                <c:pt idx="329" c:formatCode="#,##0">
                  <c:v>329</c:v>
                </c:pt>
                <c:pt idx="330" c:formatCode="#,##0">
                  <c:v>330</c:v>
                </c:pt>
                <c:pt idx="331" c:formatCode="#,##0">
                  <c:v>331</c:v>
                </c:pt>
                <c:pt idx="332" c:formatCode="#,##0">
                  <c:v>332</c:v>
                </c:pt>
                <c:pt idx="333" c:formatCode="#,##0">
                  <c:v>333</c:v>
                </c:pt>
                <c:pt idx="334" c:formatCode="#,##0">
                  <c:v>334</c:v>
                </c:pt>
                <c:pt idx="335" c:formatCode="#,##0">
                  <c:v>335</c:v>
                </c:pt>
                <c:pt idx="336" c:formatCode="#,##0">
                  <c:v>336</c:v>
                </c:pt>
                <c:pt idx="337" c:formatCode="#,##0">
                  <c:v>337</c:v>
                </c:pt>
                <c:pt idx="338" c:formatCode="#,##0">
                  <c:v>338</c:v>
                </c:pt>
                <c:pt idx="339" c:formatCode="#,##0">
                  <c:v>339</c:v>
                </c:pt>
                <c:pt idx="340" c:formatCode="#,##0">
                  <c:v>340</c:v>
                </c:pt>
                <c:pt idx="341" c:formatCode="#,##0">
                  <c:v>341</c:v>
                </c:pt>
                <c:pt idx="342" c:formatCode="#,##0">
                  <c:v>342</c:v>
                </c:pt>
                <c:pt idx="343" c:formatCode="#,##0">
                  <c:v>343</c:v>
                </c:pt>
                <c:pt idx="344" c:formatCode="#,##0">
                  <c:v>344</c:v>
                </c:pt>
                <c:pt idx="345" c:formatCode="#,##0">
                  <c:v>345</c:v>
                </c:pt>
                <c:pt idx="346" c:formatCode="#,##0">
                  <c:v>346</c:v>
                </c:pt>
                <c:pt idx="347" c:formatCode="#,##0">
                  <c:v>347</c:v>
                </c:pt>
                <c:pt idx="348" c:formatCode="#,##0">
                  <c:v>348</c:v>
                </c:pt>
                <c:pt idx="349" c:formatCode="#,##0">
                  <c:v>349</c:v>
                </c:pt>
                <c:pt idx="350" c:formatCode="#,##0">
                  <c:v>350</c:v>
                </c:pt>
                <c:pt idx="351" c:formatCode="#,##0">
                  <c:v>351</c:v>
                </c:pt>
                <c:pt idx="352" c:formatCode="#,##0">
                  <c:v>352</c:v>
                </c:pt>
                <c:pt idx="353" c:formatCode="#,##0">
                  <c:v>353</c:v>
                </c:pt>
                <c:pt idx="354" c:formatCode="#,##0">
                  <c:v>354</c:v>
                </c:pt>
                <c:pt idx="355" c:formatCode="#,##0">
                  <c:v>355</c:v>
                </c:pt>
                <c:pt idx="356" c:formatCode="#,##0">
                  <c:v>356</c:v>
                </c:pt>
                <c:pt idx="357" c:formatCode="#,##0">
                  <c:v>357</c:v>
                </c:pt>
                <c:pt idx="358" c:formatCode="#,##0">
                  <c:v>358</c:v>
                </c:pt>
                <c:pt idx="359" c:formatCode="#,##0">
                  <c:v>359</c:v>
                </c:pt>
                <c:pt idx="360" c:formatCode="#,##0">
                  <c:v>360</c:v>
                </c:pt>
                <c:pt idx="361" c:formatCode="#,##0">
                  <c:v>361</c:v>
                </c:pt>
                <c:pt idx="362" c:formatCode="#,##0">
                  <c:v>362</c:v>
                </c:pt>
                <c:pt idx="363" c:formatCode="#,##0">
                  <c:v>363</c:v>
                </c:pt>
                <c:pt idx="364" c:formatCode="#,##0">
                  <c:v>364</c:v>
                </c:pt>
                <c:pt idx="365" c:formatCode="#,##0">
                  <c:v>365</c:v>
                </c:pt>
              </c:numCache>
            </c:numRef>
          </c:cat>
          <c:val>
            <c:numRef>
              <c:f>'日期-等级经验曲线'!$C$4:$C$369</c:f>
              <c:numCache>
                <c:formatCode>#,##0</c:formatCode>
                <c:ptCount val="366"/>
                <c:pt idx="0">
                  <c:v>0</c:v>
                </c:pt>
                <c:pt idx="1">
                  <c:v>30</c:v>
                </c:pt>
                <c:pt idx="2">
                  <c:v>30.8333333333333</c:v>
                </c:pt>
                <c:pt idx="3">
                  <c:v>31.6666666666667</c:v>
                </c:pt>
                <c:pt idx="4">
                  <c:v>32.5</c:v>
                </c:pt>
                <c:pt idx="5">
                  <c:v>33.3333333333333</c:v>
                </c:pt>
                <c:pt idx="6">
                  <c:v>34.1666666666667</c:v>
                </c:pt>
                <c:pt idx="7">
                  <c:v>35</c:v>
                </c:pt>
                <c:pt idx="8">
                  <c:v>35.4347826086957</c:v>
                </c:pt>
                <c:pt idx="9">
                  <c:v>35.8695652173913</c:v>
                </c:pt>
                <c:pt idx="10">
                  <c:v>36.304347826087</c:v>
                </c:pt>
                <c:pt idx="11">
                  <c:v>36.7391304347826</c:v>
                </c:pt>
                <c:pt idx="12">
                  <c:v>37.1739130434783</c:v>
                </c:pt>
                <c:pt idx="13">
                  <c:v>37.6086956521739</c:v>
                </c:pt>
                <c:pt idx="14">
                  <c:v>38.0434782608696</c:v>
                </c:pt>
                <c:pt idx="15">
                  <c:v>38.4782608695652</c:v>
                </c:pt>
                <c:pt idx="16">
                  <c:v>38.9130434782609</c:v>
                </c:pt>
                <c:pt idx="17">
                  <c:v>39.3478260869565</c:v>
                </c:pt>
                <c:pt idx="18">
                  <c:v>39.7826086956522</c:v>
                </c:pt>
                <c:pt idx="19">
                  <c:v>40.2173913043478</c:v>
                </c:pt>
                <c:pt idx="20">
                  <c:v>40.6521739130435</c:v>
                </c:pt>
                <c:pt idx="21">
                  <c:v>41.0869565217391</c:v>
                </c:pt>
                <c:pt idx="22">
                  <c:v>41.5217391304348</c:v>
                </c:pt>
                <c:pt idx="23">
                  <c:v>41.9565217391304</c:v>
                </c:pt>
                <c:pt idx="24">
                  <c:v>42.3913043478261</c:v>
                </c:pt>
                <c:pt idx="25">
                  <c:v>42.8260869565217</c:v>
                </c:pt>
                <c:pt idx="26">
                  <c:v>43.2608695652174</c:v>
                </c:pt>
                <c:pt idx="27">
                  <c:v>43.695652173913</c:v>
                </c:pt>
                <c:pt idx="28">
                  <c:v>44.1304347826087</c:v>
                </c:pt>
                <c:pt idx="29">
                  <c:v>44.5652173913044</c:v>
                </c:pt>
                <c:pt idx="30">
                  <c:v>45</c:v>
                </c:pt>
                <c:pt idx="31">
                  <c:v>45.3333333333333</c:v>
                </c:pt>
                <c:pt idx="32">
                  <c:v>45.6666666666667</c:v>
                </c:pt>
                <c:pt idx="33">
                  <c:v>46</c:v>
                </c:pt>
                <c:pt idx="34">
                  <c:v>46.3333333333333</c:v>
                </c:pt>
                <c:pt idx="35">
                  <c:v>46.6666666666667</c:v>
                </c:pt>
                <c:pt idx="36">
                  <c:v>47</c:v>
                </c:pt>
                <c:pt idx="37">
                  <c:v>47.3333333333333</c:v>
                </c:pt>
                <c:pt idx="38">
                  <c:v>47.6666666666667</c:v>
                </c:pt>
                <c:pt idx="39">
                  <c:v>48</c:v>
                </c:pt>
                <c:pt idx="40">
                  <c:v>48.3333333333333</c:v>
                </c:pt>
                <c:pt idx="41">
                  <c:v>48.6666666666667</c:v>
                </c:pt>
                <c:pt idx="42">
                  <c:v>49</c:v>
                </c:pt>
                <c:pt idx="43">
                  <c:v>49.3333333333333</c:v>
                </c:pt>
                <c:pt idx="44">
                  <c:v>49.6666666666667</c:v>
                </c:pt>
                <c:pt idx="45">
                  <c:v>50</c:v>
                </c:pt>
                <c:pt idx="46">
                  <c:v>50.3333333333333</c:v>
                </c:pt>
                <c:pt idx="47">
                  <c:v>50.6666666666667</c:v>
                </c:pt>
                <c:pt idx="48">
                  <c:v>51</c:v>
                </c:pt>
                <c:pt idx="49">
                  <c:v>51.3333333333333</c:v>
                </c:pt>
                <c:pt idx="50">
                  <c:v>51.6666666666667</c:v>
                </c:pt>
                <c:pt idx="51">
                  <c:v>52</c:v>
                </c:pt>
                <c:pt idx="52">
                  <c:v>52.3333333333333</c:v>
                </c:pt>
                <c:pt idx="53">
                  <c:v>52.6666666666667</c:v>
                </c:pt>
                <c:pt idx="54">
                  <c:v>53</c:v>
                </c:pt>
                <c:pt idx="55">
                  <c:v>53.3333333333333</c:v>
                </c:pt>
                <c:pt idx="56">
                  <c:v>53.6666666666667</c:v>
                </c:pt>
                <c:pt idx="57">
                  <c:v>54</c:v>
                </c:pt>
                <c:pt idx="58">
                  <c:v>54.3333333333333</c:v>
                </c:pt>
                <c:pt idx="59">
                  <c:v>54.6666666666667</c:v>
                </c:pt>
                <c:pt idx="60">
                  <c:v>55</c:v>
                </c:pt>
                <c:pt idx="61">
                  <c:v>55.3333333333333</c:v>
                </c:pt>
                <c:pt idx="62">
                  <c:v>55.6666666666667</c:v>
                </c:pt>
                <c:pt idx="63">
                  <c:v>56</c:v>
                </c:pt>
                <c:pt idx="64">
                  <c:v>56.3333333333333</c:v>
                </c:pt>
                <c:pt idx="65">
                  <c:v>56.6666666666667</c:v>
                </c:pt>
                <c:pt idx="66">
                  <c:v>57</c:v>
                </c:pt>
                <c:pt idx="67">
                  <c:v>57.3333333333333</c:v>
                </c:pt>
                <c:pt idx="68">
                  <c:v>57.6666666666667</c:v>
                </c:pt>
                <c:pt idx="69">
                  <c:v>58</c:v>
                </c:pt>
                <c:pt idx="70">
                  <c:v>58.3333333333333</c:v>
                </c:pt>
                <c:pt idx="71">
                  <c:v>58.6666666666667</c:v>
                </c:pt>
                <c:pt idx="72">
                  <c:v>59</c:v>
                </c:pt>
                <c:pt idx="73">
                  <c:v>59.3333333333333</c:v>
                </c:pt>
                <c:pt idx="74">
                  <c:v>59.6666666666667</c:v>
                </c:pt>
                <c:pt idx="75">
                  <c:v>60</c:v>
                </c:pt>
                <c:pt idx="76">
                  <c:v>60.3333333333333</c:v>
                </c:pt>
                <c:pt idx="77">
                  <c:v>60.6666666666667</c:v>
                </c:pt>
                <c:pt idx="78">
                  <c:v>61</c:v>
                </c:pt>
                <c:pt idx="79">
                  <c:v>61.3333333333333</c:v>
                </c:pt>
                <c:pt idx="80">
                  <c:v>61.6666666666667</c:v>
                </c:pt>
                <c:pt idx="81">
                  <c:v>62</c:v>
                </c:pt>
                <c:pt idx="82">
                  <c:v>62.3333333333333</c:v>
                </c:pt>
                <c:pt idx="83">
                  <c:v>62.6666666666667</c:v>
                </c:pt>
                <c:pt idx="84">
                  <c:v>63</c:v>
                </c:pt>
                <c:pt idx="85">
                  <c:v>63.3333333333333</c:v>
                </c:pt>
                <c:pt idx="86">
                  <c:v>63.6666666666667</c:v>
                </c:pt>
                <c:pt idx="87">
                  <c:v>64</c:v>
                </c:pt>
                <c:pt idx="88">
                  <c:v>64.3333333333333</c:v>
                </c:pt>
                <c:pt idx="89">
                  <c:v>64.6666666666667</c:v>
                </c:pt>
                <c:pt idx="90">
                  <c:v>65</c:v>
                </c:pt>
                <c:pt idx="91">
                  <c:v>65.1666666666667</c:v>
                </c:pt>
                <c:pt idx="92">
                  <c:v>65.3333333333333</c:v>
                </c:pt>
                <c:pt idx="93">
                  <c:v>65.5</c:v>
                </c:pt>
                <c:pt idx="94">
                  <c:v>65.6666666666667</c:v>
                </c:pt>
                <c:pt idx="95">
                  <c:v>65.8333333333333</c:v>
                </c:pt>
                <c:pt idx="96">
                  <c:v>66</c:v>
                </c:pt>
                <c:pt idx="97">
                  <c:v>66.1666666666667</c:v>
                </c:pt>
                <c:pt idx="98">
                  <c:v>66.3333333333333</c:v>
                </c:pt>
                <c:pt idx="99">
                  <c:v>66.5</c:v>
                </c:pt>
                <c:pt idx="100">
                  <c:v>66.6666666666667</c:v>
                </c:pt>
                <c:pt idx="101">
                  <c:v>66.8333333333333</c:v>
                </c:pt>
                <c:pt idx="102">
                  <c:v>67</c:v>
                </c:pt>
                <c:pt idx="103">
                  <c:v>67.1666666666667</c:v>
                </c:pt>
                <c:pt idx="104">
                  <c:v>67.3333333333333</c:v>
                </c:pt>
                <c:pt idx="105">
                  <c:v>67.5</c:v>
                </c:pt>
                <c:pt idx="106">
                  <c:v>67.6666666666667</c:v>
                </c:pt>
                <c:pt idx="107">
                  <c:v>67.8333333333333</c:v>
                </c:pt>
                <c:pt idx="108">
                  <c:v>68</c:v>
                </c:pt>
                <c:pt idx="109">
                  <c:v>68.1666666666667</c:v>
                </c:pt>
                <c:pt idx="110">
                  <c:v>68.3333333333333</c:v>
                </c:pt>
                <c:pt idx="111">
                  <c:v>68.5</c:v>
                </c:pt>
                <c:pt idx="112">
                  <c:v>68.6666666666667</c:v>
                </c:pt>
                <c:pt idx="113">
                  <c:v>68.8333333333333</c:v>
                </c:pt>
                <c:pt idx="114">
                  <c:v>69</c:v>
                </c:pt>
                <c:pt idx="115">
                  <c:v>69.1666666666667</c:v>
                </c:pt>
                <c:pt idx="116">
                  <c:v>69.3333333333333</c:v>
                </c:pt>
                <c:pt idx="117">
                  <c:v>69.5</c:v>
                </c:pt>
                <c:pt idx="118">
                  <c:v>69.6666666666667</c:v>
                </c:pt>
                <c:pt idx="119">
                  <c:v>69.8333333333333</c:v>
                </c:pt>
                <c:pt idx="120">
                  <c:v>70</c:v>
                </c:pt>
                <c:pt idx="121">
                  <c:v>70.1666666666667</c:v>
                </c:pt>
                <c:pt idx="122">
                  <c:v>70.3333333333333</c:v>
                </c:pt>
                <c:pt idx="123">
                  <c:v>70.5</c:v>
                </c:pt>
                <c:pt idx="124">
                  <c:v>70.6666666666667</c:v>
                </c:pt>
                <c:pt idx="125">
                  <c:v>70.8333333333333</c:v>
                </c:pt>
                <c:pt idx="126">
                  <c:v>71</c:v>
                </c:pt>
                <c:pt idx="127">
                  <c:v>71.1666666666667</c:v>
                </c:pt>
                <c:pt idx="128">
                  <c:v>71.3333333333333</c:v>
                </c:pt>
                <c:pt idx="129">
                  <c:v>71.5</c:v>
                </c:pt>
                <c:pt idx="130">
                  <c:v>71.6666666666667</c:v>
                </c:pt>
                <c:pt idx="131">
                  <c:v>71.8333333333333</c:v>
                </c:pt>
                <c:pt idx="132">
                  <c:v>72</c:v>
                </c:pt>
                <c:pt idx="133">
                  <c:v>72.1666666666667</c:v>
                </c:pt>
                <c:pt idx="134">
                  <c:v>72.3333333333333</c:v>
                </c:pt>
                <c:pt idx="135">
                  <c:v>72.5</c:v>
                </c:pt>
                <c:pt idx="136">
                  <c:v>72.6666666666667</c:v>
                </c:pt>
                <c:pt idx="137">
                  <c:v>72.8333333333333</c:v>
                </c:pt>
                <c:pt idx="138">
                  <c:v>73</c:v>
                </c:pt>
                <c:pt idx="139">
                  <c:v>73.1666666666667</c:v>
                </c:pt>
                <c:pt idx="140">
                  <c:v>73.3333333333333</c:v>
                </c:pt>
                <c:pt idx="141">
                  <c:v>73.5</c:v>
                </c:pt>
                <c:pt idx="142">
                  <c:v>73.6666666666667</c:v>
                </c:pt>
                <c:pt idx="143">
                  <c:v>73.8333333333333</c:v>
                </c:pt>
                <c:pt idx="144">
                  <c:v>74</c:v>
                </c:pt>
                <c:pt idx="145">
                  <c:v>74.1666666666667</c:v>
                </c:pt>
                <c:pt idx="146">
                  <c:v>74.3333333333333</c:v>
                </c:pt>
                <c:pt idx="147">
                  <c:v>74.5</c:v>
                </c:pt>
                <c:pt idx="148">
                  <c:v>74.6666666666667</c:v>
                </c:pt>
                <c:pt idx="149">
                  <c:v>74.8333333333333</c:v>
                </c:pt>
                <c:pt idx="150">
                  <c:v>75</c:v>
                </c:pt>
                <c:pt idx="151">
                  <c:v>75.1666666666667</c:v>
                </c:pt>
                <c:pt idx="152">
                  <c:v>75.3333333333333</c:v>
                </c:pt>
                <c:pt idx="153">
                  <c:v>75.5</c:v>
                </c:pt>
                <c:pt idx="154">
                  <c:v>75.6666666666667</c:v>
                </c:pt>
                <c:pt idx="155">
                  <c:v>75.8333333333333</c:v>
                </c:pt>
                <c:pt idx="156">
                  <c:v>76</c:v>
                </c:pt>
                <c:pt idx="157">
                  <c:v>76.1666666666667</c:v>
                </c:pt>
                <c:pt idx="158">
                  <c:v>76.3333333333333</c:v>
                </c:pt>
                <c:pt idx="159">
                  <c:v>76.5</c:v>
                </c:pt>
                <c:pt idx="160">
                  <c:v>76.6666666666667</c:v>
                </c:pt>
                <c:pt idx="161">
                  <c:v>76.8333333333333</c:v>
                </c:pt>
                <c:pt idx="162">
                  <c:v>77</c:v>
                </c:pt>
                <c:pt idx="163">
                  <c:v>77.1666666666667</c:v>
                </c:pt>
                <c:pt idx="164">
                  <c:v>77.3333333333333</c:v>
                </c:pt>
                <c:pt idx="165">
                  <c:v>77.5</c:v>
                </c:pt>
                <c:pt idx="166">
                  <c:v>77.6666666666667</c:v>
                </c:pt>
                <c:pt idx="167">
                  <c:v>77.8333333333333</c:v>
                </c:pt>
                <c:pt idx="168">
                  <c:v>78</c:v>
                </c:pt>
                <c:pt idx="169">
                  <c:v>78.1666666666667</c:v>
                </c:pt>
                <c:pt idx="170">
                  <c:v>78.3333333333333</c:v>
                </c:pt>
                <c:pt idx="171">
                  <c:v>78.5</c:v>
                </c:pt>
                <c:pt idx="172">
                  <c:v>78.6666666666667</c:v>
                </c:pt>
                <c:pt idx="173">
                  <c:v>78.8333333333333</c:v>
                </c:pt>
                <c:pt idx="174">
                  <c:v>79</c:v>
                </c:pt>
                <c:pt idx="175">
                  <c:v>79.1666666666667</c:v>
                </c:pt>
                <c:pt idx="176">
                  <c:v>79.3333333333333</c:v>
                </c:pt>
                <c:pt idx="177">
                  <c:v>79.5</c:v>
                </c:pt>
                <c:pt idx="178">
                  <c:v>79.6666666666667</c:v>
                </c:pt>
                <c:pt idx="179">
                  <c:v>79.8333333333333</c:v>
                </c:pt>
                <c:pt idx="180">
                  <c:v>80</c:v>
                </c:pt>
                <c:pt idx="181">
                  <c:v>80.1081081081081</c:v>
                </c:pt>
                <c:pt idx="182">
                  <c:v>80.2162162162162</c:v>
                </c:pt>
                <c:pt idx="183">
                  <c:v>80.3243243243243</c:v>
                </c:pt>
                <c:pt idx="184">
                  <c:v>80.4324324324324</c:v>
                </c:pt>
                <c:pt idx="185">
                  <c:v>80.5405405405405</c:v>
                </c:pt>
                <c:pt idx="186">
                  <c:v>80.6486486486486</c:v>
                </c:pt>
                <c:pt idx="187">
                  <c:v>80.7567567567568</c:v>
                </c:pt>
                <c:pt idx="188">
                  <c:v>80.8648648648649</c:v>
                </c:pt>
                <c:pt idx="189">
                  <c:v>80.972972972973</c:v>
                </c:pt>
                <c:pt idx="190">
                  <c:v>81.0810810810811</c:v>
                </c:pt>
                <c:pt idx="191">
                  <c:v>81.1891891891892</c:v>
                </c:pt>
                <c:pt idx="192">
                  <c:v>81.2972972972973</c:v>
                </c:pt>
                <c:pt idx="193">
                  <c:v>81.4054054054054</c:v>
                </c:pt>
                <c:pt idx="194">
                  <c:v>81.5135135135135</c:v>
                </c:pt>
                <c:pt idx="195">
                  <c:v>81.6216216216216</c:v>
                </c:pt>
                <c:pt idx="196">
                  <c:v>81.7297297297297</c:v>
                </c:pt>
                <c:pt idx="197">
                  <c:v>81.8378378378378</c:v>
                </c:pt>
                <c:pt idx="198">
                  <c:v>81.945945945946</c:v>
                </c:pt>
                <c:pt idx="199">
                  <c:v>82.0540540540541</c:v>
                </c:pt>
                <c:pt idx="200">
                  <c:v>82.1621621621622</c:v>
                </c:pt>
                <c:pt idx="201">
                  <c:v>82.2702702702703</c:v>
                </c:pt>
                <c:pt idx="202">
                  <c:v>82.3783783783784</c:v>
                </c:pt>
                <c:pt idx="203">
                  <c:v>82.4864864864865</c:v>
                </c:pt>
                <c:pt idx="204">
                  <c:v>82.5945945945946</c:v>
                </c:pt>
                <c:pt idx="205">
                  <c:v>82.7027027027027</c:v>
                </c:pt>
                <c:pt idx="206">
                  <c:v>82.8108108108108</c:v>
                </c:pt>
                <c:pt idx="207">
                  <c:v>82.9189189189189</c:v>
                </c:pt>
                <c:pt idx="208">
                  <c:v>83.027027027027</c:v>
                </c:pt>
                <c:pt idx="209">
                  <c:v>83.1351351351351</c:v>
                </c:pt>
                <c:pt idx="210">
                  <c:v>83.2432432432432</c:v>
                </c:pt>
                <c:pt idx="211">
                  <c:v>83.3513513513514</c:v>
                </c:pt>
                <c:pt idx="212">
                  <c:v>83.4594594594595</c:v>
                </c:pt>
                <c:pt idx="213">
                  <c:v>83.5675675675676</c:v>
                </c:pt>
                <c:pt idx="214">
                  <c:v>83.6756756756757</c:v>
                </c:pt>
                <c:pt idx="215">
                  <c:v>83.7837837837838</c:v>
                </c:pt>
                <c:pt idx="216">
                  <c:v>83.8918918918919</c:v>
                </c:pt>
                <c:pt idx="217">
                  <c:v>84</c:v>
                </c:pt>
                <c:pt idx="218">
                  <c:v>84.1081081081081</c:v>
                </c:pt>
                <c:pt idx="219">
                  <c:v>84.2162162162162</c:v>
                </c:pt>
                <c:pt idx="220">
                  <c:v>84.3243243243243</c:v>
                </c:pt>
                <c:pt idx="221">
                  <c:v>84.4324324324324</c:v>
                </c:pt>
                <c:pt idx="222">
                  <c:v>84.5405405405405</c:v>
                </c:pt>
                <c:pt idx="223">
                  <c:v>84.6486486486486</c:v>
                </c:pt>
                <c:pt idx="224">
                  <c:v>84.7567567567568</c:v>
                </c:pt>
                <c:pt idx="225">
                  <c:v>84.8648648648649</c:v>
                </c:pt>
                <c:pt idx="226">
                  <c:v>84.972972972973</c:v>
                </c:pt>
                <c:pt idx="227">
                  <c:v>85.0810810810811</c:v>
                </c:pt>
                <c:pt idx="228">
                  <c:v>85.1891891891892</c:v>
                </c:pt>
                <c:pt idx="229">
                  <c:v>85.2972972972973</c:v>
                </c:pt>
                <c:pt idx="230">
                  <c:v>85.4054054054054</c:v>
                </c:pt>
                <c:pt idx="231">
                  <c:v>85.5135135135135</c:v>
                </c:pt>
                <c:pt idx="232">
                  <c:v>85.6216216216216</c:v>
                </c:pt>
                <c:pt idx="233">
                  <c:v>85.7297297297297</c:v>
                </c:pt>
                <c:pt idx="234">
                  <c:v>85.8378378378378</c:v>
                </c:pt>
                <c:pt idx="235">
                  <c:v>85.945945945946</c:v>
                </c:pt>
                <c:pt idx="236">
                  <c:v>86.0540540540541</c:v>
                </c:pt>
                <c:pt idx="237">
                  <c:v>86.1621621621622</c:v>
                </c:pt>
                <c:pt idx="238">
                  <c:v>86.2702702702703</c:v>
                </c:pt>
                <c:pt idx="239">
                  <c:v>86.3783783783784</c:v>
                </c:pt>
                <c:pt idx="240">
                  <c:v>86.4864864864865</c:v>
                </c:pt>
                <c:pt idx="241">
                  <c:v>86.5945945945946</c:v>
                </c:pt>
                <c:pt idx="242">
                  <c:v>86.7027027027027</c:v>
                </c:pt>
                <c:pt idx="243">
                  <c:v>86.8108108108108</c:v>
                </c:pt>
                <c:pt idx="244">
                  <c:v>86.9189189189189</c:v>
                </c:pt>
                <c:pt idx="245">
                  <c:v>87.027027027027</c:v>
                </c:pt>
                <c:pt idx="246">
                  <c:v>87.1351351351351</c:v>
                </c:pt>
                <c:pt idx="247">
                  <c:v>87.2432432432432</c:v>
                </c:pt>
                <c:pt idx="248">
                  <c:v>87.3513513513514</c:v>
                </c:pt>
                <c:pt idx="249">
                  <c:v>87.4594594594595</c:v>
                </c:pt>
                <c:pt idx="250">
                  <c:v>87.5675675675676</c:v>
                </c:pt>
                <c:pt idx="251">
                  <c:v>87.6756756756757</c:v>
                </c:pt>
                <c:pt idx="252">
                  <c:v>87.7837837837838</c:v>
                </c:pt>
                <c:pt idx="253">
                  <c:v>87.8918918918919</c:v>
                </c:pt>
                <c:pt idx="254">
                  <c:v>88</c:v>
                </c:pt>
                <c:pt idx="255">
                  <c:v>88.1081081081081</c:v>
                </c:pt>
                <c:pt idx="256">
                  <c:v>88.2162162162162</c:v>
                </c:pt>
                <c:pt idx="257">
                  <c:v>88.3243243243243</c:v>
                </c:pt>
                <c:pt idx="258">
                  <c:v>88.4324324324324</c:v>
                </c:pt>
                <c:pt idx="259">
                  <c:v>88.5405405405405</c:v>
                </c:pt>
                <c:pt idx="260">
                  <c:v>88.6486486486486</c:v>
                </c:pt>
                <c:pt idx="261">
                  <c:v>88.7567567567568</c:v>
                </c:pt>
                <c:pt idx="262">
                  <c:v>88.8648648648649</c:v>
                </c:pt>
                <c:pt idx="263">
                  <c:v>88.972972972973</c:v>
                </c:pt>
                <c:pt idx="264">
                  <c:v>89.0810810810811</c:v>
                </c:pt>
                <c:pt idx="265">
                  <c:v>89.1891891891892</c:v>
                </c:pt>
                <c:pt idx="266">
                  <c:v>89.2972972972973</c:v>
                </c:pt>
                <c:pt idx="267">
                  <c:v>89.4054054054054</c:v>
                </c:pt>
                <c:pt idx="268">
                  <c:v>89.5135135135135</c:v>
                </c:pt>
                <c:pt idx="269">
                  <c:v>89.6216216216216</c:v>
                </c:pt>
                <c:pt idx="270">
                  <c:v>89.7297297297297</c:v>
                </c:pt>
                <c:pt idx="271">
                  <c:v>89.8378378378378</c:v>
                </c:pt>
                <c:pt idx="272">
                  <c:v>89.945945945946</c:v>
                </c:pt>
                <c:pt idx="273">
                  <c:v>90.0540540540541</c:v>
                </c:pt>
                <c:pt idx="274">
                  <c:v>90.1621621621622</c:v>
                </c:pt>
                <c:pt idx="275">
                  <c:v>90.2702702702703</c:v>
                </c:pt>
                <c:pt idx="276">
                  <c:v>90.3783783783784</c:v>
                </c:pt>
                <c:pt idx="277">
                  <c:v>90.4864864864865</c:v>
                </c:pt>
                <c:pt idx="278">
                  <c:v>90.5945945945946</c:v>
                </c:pt>
                <c:pt idx="279">
                  <c:v>90.7027027027027</c:v>
                </c:pt>
                <c:pt idx="280">
                  <c:v>90.8108108108108</c:v>
                </c:pt>
                <c:pt idx="281">
                  <c:v>90.9189189189189</c:v>
                </c:pt>
                <c:pt idx="282">
                  <c:v>91.027027027027</c:v>
                </c:pt>
                <c:pt idx="283">
                  <c:v>91.1351351351351</c:v>
                </c:pt>
                <c:pt idx="284">
                  <c:v>91.2432432432432</c:v>
                </c:pt>
                <c:pt idx="285">
                  <c:v>91.3513513513514</c:v>
                </c:pt>
                <c:pt idx="286">
                  <c:v>91.4594594594595</c:v>
                </c:pt>
                <c:pt idx="287">
                  <c:v>91.5675675675676</c:v>
                </c:pt>
                <c:pt idx="288">
                  <c:v>91.6756756756757</c:v>
                </c:pt>
                <c:pt idx="289">
                  <c:v>91.7837837837838</c:v>
                </c:pt>
                <c:pt idx="290">
                  <c:v>91.8918918918919</c:v>
                </c:pt>
                <c:pt idx="291">
                  <c:v>92</c:v>
                </c:pt>
                <c:pt idx="292">
                  <c:v>92.1081081081081</c:v>
                </c:pt>
                <c:pt idx="293">
                  <c:v>92.2162162162162</c:v>
                </c:pt>
                <c:pt idx="294">
                  <c:v>92.3243243243243</c:v>
                </c:pt>
                <c:pt idx="295">
                  <c:v>92.4324324324324</c:v>
                </c:pt>
                <c:pt idx="296">
                  <c:v>92.5405405405405</c:v>
                </c:pt>
                <c:pt idx="297">
                  <c:v>92.6486486486486</c:v>
                </c:pt>
                <c:pt idx="298">
                  <c:v>92.7567567567568</c:v>
                </c:pt>
                <c:pt idx="299">
                  <c:v>92.8648648648649</c:v>
                </c:pt>
                <c:pt idx="300">
                  <c:v>92.972972972973</c:v>
                </c:pt>
                <c:pt idx="301">
                  <c:v>93.0810810810811</c:v>
                </c:pt>
                <c:pt idx="302">
                  <c:v>93.1891891891892</c:v>
                </c:pt>
                <c:pt idx="303">
                  <c:v>93.2972972972973</c:v>
                </c:pt>
                <c:pt idx="304">
                  <c:v>93.4054054054054</c:v>
                </c:pt>
                <c:pt idx="305">
                  <c:v>93.5135135135135</c:v>
                </c:pt>
                <c:pt idx="306">
                  <c:v>93.6216216216216</c:v>
                </c:pt>
                <c:pt idx="307">
                  <c:v>93.7297297297297</c:v>
                </c:pt>
                <c:pt idx="308">
                  <c:v>93.8378378378378</c:v>
                </c:pt>
                <c:pt idx="309">
                  <c:v>93.945945945946</c:v>
                </c:pt>
                <c:pt idx="310">
                  <c:v>94.0540540540541</c:v>
                </c:pt>
                <c:pt idx="311">
                  <c:v>94.1621621621622</c:v>
                </c:pt>
                <c:pt idx="312">
                  <c:v>94.2702702702703</c:v>
                </c:pt>
                <c:pt idx="313">
                  <c:v>94.3783783783784</c:v>
                </c:pt>
                <c:pt idx="314">
                  <c:v>94.4864864864865</c:v>
                </c:pt>
                <c:pt idx="315">
                  <c:v>94.5945945945946</c:v>
                </c:pt>
                <c:pt idx="316">
                  <c:v>94.7027027027027</c:v>
                </c:pt>
                <c:pt idx="317">
                  <c:v>94.8108108108108</c:v>
                </c:pt>
                <c:pt idx="318">
                  <c:v>94.9189189189189</c:v>
                </c:pt>
                <c:pt idx="319">
                  <c:v>95.027027027027</c:v>
                </c:pt>
                <c:pt idx="320">
                  <c:v>95.1351351351351</c:v>
                </c:pt>
                <c:pt idx="321">
                  <c:v>95.2432432432432</c:v>
                </c:pt>
                <c:pt idx="322">
                  <c:v>95.3513513513514</c:v>
                </c:pt>
                <c:pt idx="323">
                  <c:v>95.4594594594595</c:v>
                </c:pt>
                <c:pt idx="324">
                  <c:v>95.5675675675676</c:v>
                </c:pt>
                <c:pt idx="325">
                  <c:v>95.6756756756757</c:v>
                </c:pt>
                <c:pt idx="326">
                  <c:v>95.7837837837838</c:v>
                </c:pt>
                <c:pt idx="327">
                  <c:v>95.8918918918919</c:v>
                </c:pt>
                <c:pt idx="328">
                  <c:v>96</c:v>
                </c:pt>
                <c:pt idx="329">
                  <c:v>96.1081081081081</c:v>
                </c:pt>
                <c:pt idx="330">
                  <c:v>96.2162162162162</c:v>
                </c:pt>
                <c:pt idx="331">
                  <c:v>96.3243243243243</c:v>
                </c:pt>
                <c:pt idx="332">
                  <c:v>96.4324324324324</c:v>
                </c:pt>
                <c:pt idx="333">
                  <c:v>96.5405405405405</c:v>
                </c:pt>
                <c:pt idx="334">
                  <c:v>96.6486486486486</c:v>
                </c:pt>
                <c:pt idx="335">
                  <c:v>96.7567567567568</c:v>
                </c:pt>
                <c:pt idx="336">
                  <c:v>96.8648648648649</c:v>
                </c:pt>
                <c:pt idx="337">
                  <c:v>96.972972972973</c:v>
                </c:pt>
                <c:pt idx="338">
                  <c:v>97.0810810810811</c:v>
                </c:pt>
                <c:pt idx="339">
                  <c:v>97.1891891891892</c:v>
                </c:pt>
                <c:pt idx="340">
                  <c:v>97.2972972972973</c:v>
                </c:pt>
                <c:pt idx="341">
                  <c:v>97.4054054054054</c:v>
                </c:pt>
                <c:pt idx="342">
                  <c:v>97.5135135135135</c:v>
                </c:pt>
                <c:pt idx="343">
                  <c:v>97.6216216216216</c:v>
                </c:pt>
                <c:pt idx="344">
                  <c:v>97.7297297297297</c:v>
                </c:pt>
                <c:pt idx="345">
                  <c:v>97.8378378378378</c:v>
                </c:pt>
                <c:pt idx="346">
                  <c:v>97.945945945946</c:v>
                </c:pt>
                <c:pt idx="347">
                  <c:v>98.0540540540541</c:v>
                </c:pt>
                <c:pt idx="348">
                  <c:v>98.1621621621622</c:v>
                </c:pt>
                <c:pt idx="349">
                  <c:v>98.2702702702703</c:v>
                </c:pt>
                <c:pt idx="350">
                  <c:v>98.3783783783784</c:v>
                </c:pt>
                <c:pt idx="351">
                  <c:v>98.4864864864865</c:v>
                </c:pt>
                <c:pt idx="352">
                  <c:v>98.5945945945946</c:v>
                </c:pt>
                <c:pt idx="353">
                  <c:v>98.7027027027027</c:v>
                </c:pt>
                <c:pt idx="354">
                  <c:v>98.8108108108108</c:v>
                </c:pt>
                <c:pt idx="355">
                  <c:v>98.9189189189189</c:v>
                </c:pt>
                <c:pt idx="356">
                  <c:v>99.027027027027</c:v>
                </c:pt>
                <c:pt idx="357">
                  <c:v>99.1351351351351</c:v>
                </c:pt>
                <c:pt idx="358">
                  <c:v>99.2432432432432</c:v>
                </c:pt>
                <c:pt idx="359">
                  <c:v>99.3513513513514</c:v>
                </c:pt>
                <c:pt idx="360">
                  <c:v>99.4594594594595</c:v>
                </c:pt>
                <c:pt idx="361">
                  <c:v>99.5675675675676</c:v>
                </c:pt>
                <c:pt idx="362">
                  <c:v>99.6756756756757</c:v>
                </c:pt>
                <c:pt idx="363">
                  <c:v>99.7837837837838</c:v>
                </c:pt>
                <c:pt idx="364">
                  <c:v>99.8918918918919</c:v>
                </c:pt>
                <c:pt idx="365">
                  <c:v>100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相对天数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当日 XP</a:t>
                </a:r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f793e25-799c-4583-b24d-2f137ed3c0ac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2590165</xdr:colOff>
      <xdr:row>13</xdr:row>
      <xdr:rowOff>96520</xdr:rowOff>
    </xdr:from>
    <xdr:ext cx="6429375" cy="4939030"/>
    <xdr:graphicFrame>
      <xdr:nvGraphicFramePr>
        <xdr:cNvPr id="2" name="Chart 1"/>
        <xdr:cNvGraphicFramePr/>
      </xdr:nvGraphicFramePr>
      <xdr:xfrm>
        <a:off x="8635365" y="3929380"/>
        <a:ext cx="6429375" cy="49390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38</xdr:row>
      <xdr:rowOff>0</xdr:rowOff>
    </xdr:from>
    <xdr:ext cx="8640000" cy="3222900"/>
    <xdr:graphicFrame>
      <xdr:nvGraphicFramePr>
        <xdr:cNvPr id="3" name="Chart 2"/>
        <xdr:cNvGraphicFramePr/>
      </xdr:nvGraphicFramePr>
      <xdr:xfrm>
        <a:off x="8636000" y="9166860"/>
        <a:ext cx="8639810" cy="3222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3"/>
  <sheetViews>
    <sheetView showGridLines="0" workbookViewId="0">
      <selection activeCell="A1" sqref="A1:C1"/>
    </sheetView>
  </sheetViews>
  <sheetFormatPr defaultColWidth="9" defaultRowHeight="16.8" outlineLevelCol="2"/>
  <cols>
    <col min="1" max="1" width="12" customWidth="1"/>
    <col min="2" max="3" width="16" customWidth="1"/>
  </cols>
  <sheetData>
    <row r="1" ht="30" customHeight="1" spans="1:1">
      <c r="A1" s="1" t="s">
        <v>0</v>
      </c>
    </row>
    <row r="3" spans="1:3">
      <c r="A3" s="2" t="s">
        <v>1</v>
      </c>
      <c r="B3" s="2" t="s">
        <v>2</v>
      </c>
      <c r="C3" s="2" t="s">
        <v>3</v>
      </c>
    </row>
    <row r="4" spans="1:3">
      <c r="A4" s="4">
        <v>1</v>
      </c>
      <c r="B4" s="4">
        <f>ROUND(IF(A4&lt;=参数说明!$A$14,FORECAST(A4,参数说明!$B$13:$B$14,参数说明!$A$13:$A$14),IF(A4&lt;=参数说明!$A$15,FORECAST(A4,参数说明!$B$14:$B$15,参数说明!$A$14:$A$15),IF(A4&lt;=参数说明!$A$16,FORECAST(A4,参数说明!$B$15:$B$16,参数说明!$A$15:$A$16),IF(A4&lt;=参数说明!$A$17,FORECAST(A4,参数说明!$B$16:$B$17,参数说明!$A$16:$A$17),IF(A4&lt;=参数说明!$A$18,FORECAST(A4,参数说明!$B$17:$B$18,参数说明!$A$17:$A$18),IF(A4&lt;=参数说明!$A$19,FORECAST(A4,参数说明!$B$18:$B$19,参数说明!$A$18:$A$19),FORECAST(A4,参数说明!$B$19:$B$20,参数说明!$A$19:$A$20)))))))/5,0)*5</f>
        <v>10</v>
      </c>
      <c r="C4" s="4">
        <f t="shared" ref="C4:C67" si="0">B5-B4</f>
        <v>10</v>
      </c>
    </row>
    <row r="5" spans="1:3">
      <c r="A5" s="4">
        <v>2</v>
      </c>
      <c r="B5" s="4">
        <f>ROUND(IF(A5&lt;=参数说明!$A$14,FORECAST(A5,参数说明!$B$13:$B$14,参数说明!$A$13:$A$14),IF(A5&lt;=参数说明!$A$15,FORECAST(A5,参数说明!$B$14:$B$15,参数说明!$A$14:$A$15),IF(A5&lt;=参数说明!$A$16,FORECAST(A5,参数说明!$B$15:$B$16,参数说明!$A$15:$A$16),IF(A5&lt;=参数说明!$A$17,FORECAST(A5,参数说明!$B$16:$B$17,参数说明!$A$16:$A$17),IF(A5&lt;=参数说明!$A$18,FORECAST(A5,参数说明!$B$17:$B$18,参数说明!$A$17:$A$18),IF(A5&lt;=参数说明!$A$19,FORECAST(A5,参数说明!$B$18:$B$19,参数说明!$A$18:$A$19),FORECAST(A5,参数说明!$B$19:$B$20,参数说明!$A$19:$A$20)))))))/5,0)*5</f>
        <v>20</v>
      </c>
      <c r="C5" s="4">
        <f t="shared" si="0"/>
        <v>10</v>
      </c>
    </row>
    <row r="6" spans="1:3">
      <c r="A6" s="4">
        <v>3</v>
      </c>
      <c r="B6" s="4">
        <f>ROUND(IF(A6&lt;=参数说明!$A$14,FORECAST(A6,参数说明!$B$13:$B$14,参数说明!$A$13:$A$14),IF(A6&lt;=参数说明!$A$15,FORECAST(A6,参数说明!$B$14:$B$15,参数说明!$A$14:$A$15),IF(A6&lt;=参数说明!$A$16,FORECAST(A6,参数说明!$B$15:$B$16,参数说明!$A$15:$A$16),IF(A6&lt;=参数说明!$A$17,FORECAST(A6,参数说明!$B$16:$B$17,参数说明!$A$16:$A$17),IF(A6&lt;=参数说明!$A$18,FORECAST(A6,参数说明!$B$17:$B$18,参数说明!$A$17:$A$18),IF(A6&lt;=参数说明!$A$19,FORECAST(A6,参数说明!$B$18:$B$19,参数说明!$A$18:$A$19),FORECAST(A6,参数说明!$B$19:$B$20,参数说明!$A$19:$A$20)))))))/5,0)*5</f>
        <v>30</v>
      </c>
      <c r="C6" s="4">
        <f t="shared" si="0"/>
        <v>30</v>
      </c>
    </row>
    <row r="7" spans="1:3">
      <c r="A7" s="4">
        <v>4</v>
      </c>
      <c r="B7" s="4">
        <f>ROUND(IF(A7&lt;=参数说明!$A$14,FORECAST(A7,参数说明!$B$13:$B$14,参数说明!$A$13:$A$14),IF(A7&lt;=参数说明!$A$15,FORECAST(A7,参数说明!$B$14:$B$15,参数说明!$A$14:$A$15),IF(A7&lt;=参数说明!$A$16,FORECAST(A7,参数说明!$B$15:$B$16,参数说明!$A$15:$A$16),IF(A7&lt;=参数说明!$A$17,FORECAST(A7,参数说明!$B$16:$B$17,参数说明!$A$16:$A$17),IF(A7&lt;=参数说明!$A$18,FORECAST(A7,参数说明!$B$17:$B$18,参数说明!$A$17:$A$18),IF(A7&lt;=参数说明!$A$19,FORECAST(A7,参数说明!$B$18:$B$19,参数说明!$A$18:$A$19),FORECAST(A7,参数说明!$B$19:$B$20,参数说明!$A$19:$A$20)))))))/5,0)*5</f>
        <v>60</v>
      </c>
      <c r="C7" s="4">
        <f t="shared" si="0"/>
        <v>25</v>
      </c>
    </row>
    <row r="8" spans="1:3">
      <c r="A8" s="4">
        <v>5</v>
      </c>
      <c r="B8" s="4">
        <f>ROUND(IF(A8&lt;=参数说明!$A$14,FORECAST(A8,参数说明!$B$13:$B$14,参数说明!$A$13:$A$14),IF(A8&lt;=参数说明!$A$15,FORECAST(A8,参数说明!$B$14:$B$15,参数说明!$A$14:$A$15),IF(A8&lt;=参数说明!$A$16,FORECAST(A8,参数说明!$B$15:$B$16,参数说明!$A$15:$A$16),IF(A8&lt;=参数说明!$A$17,FORECAST(A8,参数说明!$B$16:$B$17,参数说明!$A$16:$A$17),IF(A8&lt;=参数说明!$A$18,FORECAST(A8,参数说明!$B$17:$B$18,参数说明!$A$17:$A$18),IF(A8&lt;=参数说明!$A$19,FORECAST(A8,参数说明!$B$18:$B$19,参数说明!$A$18:$A$19),FORECAST(A8,参数说明!$B$19:$B$20,参数说明!$A$19:$A$20)))))))/5,0)*5</f>
        <v>85</v>
      </c>
      <c r="C8" s="4">
        <f t="shared" si="0"/>
        <v>30</v>
      </c>
    </row>
    <row r="9" spans="1:3">
      <c r="A9" s="4">
        <v>6</v>
      </c>
      <c r="B9" s="4">
        <f>ROUND(IF(A9&lt;=参数说明!$A$14,FORECAST(A9,参数说明!$B$13:$B$14,参数说明!$A$13:$A$14),IF(A9&lt;=参数说明!$A$15,FORECAST(A9,参数说明!$B$14:$B$15,参数说明!$A$14:$A$15),IF(A9&lt;=参数说明!$A$16,FORECAST(A9,参数说明!$B$15:$B$16,参数说明!$A$15:$A$16),IF(A9&lt;=参数说明!$A$17,FORECAST(A9,参数说明!$B$16:$B$17,参数说明!$A$16:$A$17),IF(A9&lt;=参数说明!$A$18,FORECAST(A9,参数说明!$B$17:$B$18,参数说明!$A$17:$A$18),IF(A9&lt;=参数说明!$A$19,FORECAST(A9,参数说明!$B$18:$B$19,参数说明!$A$18:$A$19),FORECAST(A9,参数说明!$B$19:$B$20,参数说明!$A$19:$A$20)))))))/5,0)*5</f>
        <v>115</v>
      </c>
      <c r="C9" s="4">
        <f t="shared" si="0"/>
        <v>25</v>
      </c>
    </row>
    <row r="10" spans="1:3">
      <c r="A10" s="4">
        <v>7</v>
      </c>
      <c r="B10" s="4">
        <f>ROUND(IF(A10&lt;=参数说明!$A$14,FORECAST(A10,参数说明!$B$13:$B$14,参数说明!$A$13:$A$14),IF(A10&lt;=参数说明!$A$15,FORECAST(A10,参数说明!$B$14:$B$15,参数说明!$A$14:$A$15),IF(A10&lt;=参数说明!$A$16,FORECAST(A10,参数说明!$B$15:$B$16,参数说明!$A$15:$A$16),IF(A10&lt;=参数说明!$A$17,FORECAST(A10,参数说明!$B$16:$B$17,参数说明!$A$16:$A$17),IF(A10&lt;=参数说明!$A$18,FORECAST(A10,参数说明!$B$17:$B$18,参数说明!$A$17:$A$18),IF(A10&lt;=参数说明!$A$19,FORECAST(A10,参数说明!$B$18:$B$19,参数说明!$A$18:$A$19),FORECAST(A10,参数说明!$B$19:$B$20,参数说明!$A$19:$A$20)))))))/5,0)*5</f>
        <v>140</v>
      </c>
      <c r="C10" s="4">
        <f t="shared" si="0"/>
        <v>30</v>
      </c>
    </row>
    <row r="11" spans="1:3">
      <c r="A11" s="4">
        <v>8</v>
      </c>
      <c r="B11" s="4">
        <f>ROUND(IF(A11&lt;=参数说明!$A$14,FORECAST(A11,参数说明!$B$13:$B$14,参数说明!$A$13:$A$14),IF(A11&lt;=参数说明!$A$15,FORECAST(A11,参数说明!$B$14:$B$15,参数说明!$A$14:$A$15),IF(A11&lt;=参数说明!$A$16,FORECAST(A11,参数说明!$B$15:$B$16,参数说明!$A$15:$A$16),IF(A11&lt;=参数说明!$A$17,FORECAST(A11,参数说明!$B$16:$B$17,参数说明!$A$16:$A$17),IF(A11&lt;=参数说明!$A$18,FORECAST(A11,参数说明!$B$17:$B$18,参数说明!$A$17:$A$18),IF(A11&lt;=参数说明!$A$19,FORECAST(A11,参数说明!$B$18:$B$19,参数说明!$A$18:$A$19),FORECAST(A11,参数说明!$B$19:$B$20,参数说明!$A$19:$A$20)))))))/5,0)*5</f>
        <v>170</v>
      </c>
      <c r="C11" s="4">
        <f t="shared" si="0"/>
        <v>25</v>
      </c>
    </row>
    <row r="12" spans="1:3">
      <c r="A12" s="4">
        <v>9</v>
      </c>
      <c r="B12" s="4">
        <f>ROUND(IF(A12&lt;=参数说明!$A$14,FORECAST(A12,参数说明!$B$13:$B$14,参数说明!$A$13:$A$14),IF(A12&lt;=参数说明!$A$15,FORECAST(A12,参数说明!$B$14:$B$15,参数说明!$A$14:$A$15),IF(A12&lt;=参数说明!$A$16,FORECAST(A12,参数说明!$B$15:$B$16,参数说明!$A$15:$A$16),IF(A12&lt;=参数说明!$A$17,FORECAST(A12,参数说明!$B$16:$B$17,参数说明!$A$16:$A$17),IF(A12&lt;=参数说明!$A$18,FORECAST(A12,参数说明!$B$17:$B$18,参数说明!$A$17:$A$18),IF(A12&lt;=参数说明!$A$19,FORECAST(A12,参数说明!$B$18:$B$19,参数说明!$A$18:$A$19),FORECAST(A12,参数说明!$B$19:$B$20,参数说明!$A$19:$A$20)))))))/5,0)*5</f>
        <v>195</v>
      </c>
      <c r="C12" s="4">
        <f t="shared" si="0"/>
        <v>30</v>
      </c>
    </row>
    <row r="13" spans="1:3">
      <c r="A13" s="4">
        <v>10</v>
      </c>
      <c r="B13" s="4">
        <f>ROUND(IF(A13&lt;=参数说明!$A$14,FORECAST(A13,参数说明!$B$13:$B$14,参数说明!$A$13:$A$14),IF(A13&lt;=参数说明!$A$15,FORECAST(A13,参数说明!$B$14:$B$15,参数说明!$A$14:$A$15),IF(A13&lt;=参数说明!$A$16,FORECAST(A13,参数说明!$B$15:$B$16,参数说明!$A$15:$A$16),IF(A13&lt;=参数说明!$A$17,FORECAST(A13,参数说明!$B$16:$B$17,参数说明!$A$16:$A$17),IF(A13&lt;=参数说明!$A$18,FORECAST(A13,参数说明!$B$17:$B$18,参数说明!$A$17:$A$18),IF(A13&lt;=参数说明!$A$19,FORECAST(A13,参数说明!$B$18:$B$19,参数说明!$A$18:$A$19),FORECAST(A13,参数说明!$B$19:$B$20,参数说明!$A$19:$A$20)))))))/5,0)*5</f>
        <v>225</v>
      </c>
      <c r="C13" s="4">
        <f t="shared" si="0"/>
        <v>60</v>
      </c>
    </row>
    <row r="14" spans="1:3">
      <c r="A14" s="4">
        <v>11</v>
      </c>
      <c r="B14" s="4">
        <f>ROUND(IF(A14&lt;=参数说明!$A$14,FORECAST(A14,参数说明!$B$13:$B$14,参数说明!$A$13:$A$14),IF(A14&lt;=参数说明!$A$15,FORECAST(A14,参数说明!$B$14:$B$15,参数说明!$A$14:$A$15),IF(A14&lt;=参数说明!$A$16,FORECAST(A14,参数说明!$B$15:$B$16,参数说明!$A$15:$A$16),IF(A14&lt;=参数说明!$A$17,FORECAST(A14,参数说明!$B$16:$B$17,参数说明!$A$16:$A$17),IF(A14&lt;=参数说明!$A$18,FORECAST(A14,参数说明!$B$17:$B$18,参数说明!$A$17:$A$18),IF(A14&lt;=参数说明!$A$19,FORECAST(A14,参数说明!$B$18:$B$19,参数说明!$A$18:$A$19),FORECAST(A14,参数说明!$B$19:$B$20,参数说明!$A$19:$A$20)))))))/5,0)*5</f>
        <v>285</v>
      </c>
      <c r="C14" s="4">
        <f t="shared" si="0"/>
        <v>65</v>
      </c>
    </row>
    <row r="15" spans="1:3">
      <c r="A15" s="4">
        <v>12</v>
      </c>
      <c r="B15" s="4">
        <f>ROUND(IF(A15&lt;=参数说明!$A$14,FORECAST(A15,参数说明!$B$13:$B$14,参数说明!$A$13:$A$14),IF(A15&lt;=参数说明!$A$15,FORECAST(A15,参数说明!$B$14:$B$15,参数说明!$A$14:$A$15),IF(A15&lt;=参数说明!$A$16,FORECAST(A15,参数说明!$B$15:$B$16,参数说明!$A$15:$A$16),IF(A15&lt;=参数说明!$A$17,FORECAST(A15,参数说明!$B$16:$B$17,参数说明!$A$16:$A$17),IF(A15&lt;=参数说明!$A$18,FORECAST(A15,参数说明!$B$17:$B$18,参数说明!$A$17:$A$18),IF(A15&lt;=参数说明!$A$19,FORECAST(A15,参数说明!$B$18:$B$19,参数说明!$A$18:$A$19),FORECAST(A15,参数说明!$B$19:$B$20,参数说明!$A$19:$A$20)))))))/5,0)*5</f>
        <v>350</v>
      </c>
      <c r="C15" s="4">
        <f t="shared" si="0"/>
        <v>60</v>
      </c>
    </row>
    <row r="16" spans="1:3">
      <c r="A16" s="4">
        <v>13</v>
      </c>
      <c r="B16" s="4">
        <f>ROUND(IF(A16&lt;=参数说明!$A$14,FORECAST(A16,参数说明!$B$13:$B$14,参数说明!$A$13:$A$14),IF(A16&lt;=参数说明!$A$15,FORECAST(A16,参数说明!$B$14:$B$15,参数说明!$A$14:$A$15),IF(A16&lt;=参数说明!$A$16,FORECAST(A16,参数说明!$B$15:$B$16,参数说明!$A$15:$A$16),IF(A16&lt;=参数说明!$A$17,FORECAST(A16,参数说明!$B$16:$B$17,参数说明!$A$16:$A$17),IF(A16&lt;=参数说明!$A$18,FORECAST(A16,参数说明!$B$17:$B$18,参数说明!$A$17:$A$18),IF(A16&lt;=参数说明!$A$19,FORECAST(A16,参数说明!$B$18:$B$19,参数说明!$A$18:$A$19),FORECAST(A16,参数说明!$B$19:$B$20,参数说明!$A$19:$A$20)))))))/5,0)*5</f>
        <v>410</v>
      </c>
      <c r="C16" s="4">
        <f t="shared" si="0"/>
        <v>60</v>
      </c>
    </row>
    <row r="17" spans="1:3">
      <c r="A17" s="4">
        <v>14</v>
      </c>
      <c r="B17" s="4">
        <f>ROUND(IF(A17&lt;=参数说明!$A$14,FORECAST(A17,参数说明!$B$13:$B$14,参数说明!$A$13:$A$14),IF(A17&lt;=参数说明!$A$15,FORECAST(A17,参数说明!$B$14:$B$15,参数说明!$A$14:$A$15),IF(A17&lt;=参数说明!$A$16,FORECAST(A17,参数说明!$B$15:$B$16,参数说明!$A$15:$A$16),IF(A17&lt;=参数说明!$A$17,FORECAST(A17,参数说明!$B$16:$B$17,参数说明!$A$16:$A$17),IF(A17&lt;=参数说明!$A$18,FORECAST(A17,参数说明!$B$17:$B$18,参数说明!$A$17:$A$18),IF(A17&lt;=参数说明!$A$19,FORECAST(A17,参数说明!$B$18:$B$19,参数说明!$A$18:$A$19),FORECAST(A17,参数说明!$B$19:$B$20,参数说明!$A$19:$A$20)))))))/5,0)*5</f>
        <v>470</v>
      </c>
      <c r="C17" s="4">
        <f t="shared" si="0"/>
        <v>65</v>
      </c>
    </row>
    <row r="18" spans="1:3">
      <c r="A18" s="4">
        <v>15</v>
      </c>
      <c r="B18" s="4">
        <f>ROUND(IF(A18&lt;=参数说明!$A$14,FORECAST(A18,参数说明!$B$13:$B$14,参数说明!$A$13:$A$14),IF(A18&lt;=参数说明!$A$15,FORECAST(A18,参数说明!$B$14:$B$15,参数说明!$A$14:$A$15),IF(A18&lt;=参数说明!$A$16,FORECAST(A18,参数说明!$B$15:$B$16,参数说明!$A$15:$A$16),IF(A18&lt;=参数说明!$A$17,FORECAST(A18,参数说明!$B$16:$B$17,参数说明!$A$16:$A$17),IF(A18&lt;=参数说明!$A$18,FORECAST(A18,参数说明!$B$17:$B$18,参数说明!$A$17:$A$18),IF(A18&lt;=参数说明!$A$19,FORECAST(A18,参数说明!$B$18:$B$19,参数说明!$A$18:$A$19),FORECAST(A18,参数说明!$B$19:$B$20,参数说明!$A$19:$A$20)))))))/5,0)*5</f>
        <v>535</v>
      </c>
      <c r="C18" s="4">
        <f t="shared" si="0"/>
        <v>60</v>
      </c>
    </row>
    <row r="19" spans="1:3">
      <c r="A19" s="4">
        <v>16</v>
      </c>
      <c r="B19" s="4">
        <f>ROUND(IF(A19&lt;=参数说明!$A$14,FORECAST(A19,参数说明!$B$13:$B$14,参数说明!$A$13:$A$14),IF(A19&lt;=参数说明!$A$15,FORECAST(A19,参数说明!$B$14:$B$15,参数说明!$A$14:$A$15),IF(A19&lt;=参数说明!$A$16,FORECAST(A19,参数说明!$B$15:$B$16,参数说明!$A$15:$A$16),IF(A19&lt;=参数说明!$A$17,FORECAST(A19,参数说明!$B$16:$B$17,参数说明!$A$16:$A$17),IF(A19&lt;=参数说明!$A$18,FORECAST(A19,参数说明!$B$17:$B$18,参数说明!$A$17:$A$18),IF(A19&lt;=参数说明!$A$19,FORECAST(A19,参数说明!$B$18:$B$19,参数说明!$A$18:$A$19),FORECAST(A19,参数说明!$B$19:$B$20,参数说明!$A$19:$A$20)))))))/5,0)*5</f>
        <v>595</v>
      </c>
      <c r="C19" s="4">
        <f t="shared" si="0"/>
        <v>60</v>
      </c>
    </row>
    <row r="20" spans="1:3">
      <c r="A20" s="4">
        <v>17</v>
      </c>
      <c r="B20" s="4">
        <f>ROUND(IF(A20&lt;=参数说明!$A$14,FORECAST(A20,参数说明!$B$13:$B$14,参数说明!$A$13:$A$14),IF(A20&lt;=参数说明!$A$15,FORECAST(A20,参数说明!$B$14:$B$15,参数说明!$A$14:$A$15),IF(A20&lt;=参数说明!$A$16,FORECAST(A20,参数说明!$B$15:$B$16,参数说明!$A$15:$A$16),IF(A20&lt;=参数说明!$A$17,FORECAST(A20,参数说明!$B$16:$B$17,参数说明!$A$16:$A$17),IF(A20&lt;=参数说明!$A$18,FORECAST(A20,参数说明!$B$17:$B$18,参数说明!$A$17:$A$18),IF(A20&lt;=参数说明!$A$19,FORECAST(A20,参数说明!$B$18:$B$19,参数说明!$A$18:$A$19),FORECAST(A20,参数说明!$B$19:$B$20,参数说明!$A$19:$A$20)))))))/5,0)*5</f>
        <v>655</v>
      </c>
      <c r="C20" s="4">
        <f t="shared" si="0"/>
        <v>65</v>
      </c>
    </row>
    <row r="21" spans="1:3">
      <c r="A21" s="4">
        <v>18</v>
      </c>
      <c r="B21" s="4">
        <f>ROUND(IF(A21&lt;=参数说明!$A$14,FORECAST(A21,参数说明!$B$13:$B$14,参数说明!$A$13:$A$14),IF(A21&lt;=参数说明!$A$15,FORECAST(A21,参数说明!$B$14:$B$15,参数说明!$A$14:$A$15),IF(A21&lt;=参数说明!$A$16,FORECAST(A21,参数说明!$B$15:$B$16,参数说明!$A$15:$A$16),IF(A21&lt;=参数说明!$A$17,FORECAST(A21,参数说明!$B$16:$B$17,参数说明!$A$16:$A$17),IF(A21&lt;=参数说明!$A$18,FORECAST(A21,参数说明!$B$17:$B$18,参数说明!$A$17:$A$18),IF(A21&lt;=参数说明!$A$19,FORECAST(A21,参数说明!$B$18:$B$19,参数说明!$A$18:$A$19),FORECAST(A21,参数说明!$B$19:$B$20,参数说明!$A$19:$A$20)))))))/5,0)*5</f>
        <v>720</v>
      </c>
      <c r="C21" s="4">
        <f t="shared" si="0"/>
        <v>60</v>
      </c>
    </row>
    <row r="22" spans="1:3">
      <c r="A22" s="4">
        <v>19</v>
      </c>
      <c r="B22" s="4">
        <f>ROUND(IF(A22&lt;=参数说明!$A$14,FORECAST(A22,参数说明!$B$13:$B$14,参数说明!$A$13:$A$14),IF(A22&lt;=参数说明!$A$15,FORECAST(A22,参数说明!$B$14:$B$15,参数说明!$A$14:$A$15),IF(A22&lt;=参数说明!$A$16,FORECAST(A22,参数说明!$B$15:$B$16,参数说明!$A$15:$A$16),IF(A22&lt;=参数说明!$A$17,FORECAST(A22,参数说明!$B$16:$B$17,参数说明!$A$16:$A$17),IF(A22&lt;=参数说明!$A$18,FORECAST(A22,参数说明!$B$17:$B$18,参数说明!$A$17:$A$18),IF(A22&lt;=参数说明!$A$19,FORECAST(A22,参数说明!$B$18:$B$19,参数说明!$A$18:$A$19),FORECAST(A22,参数说明!$B$19:$B$20,参数说明!$A$19:$A$20)))))))/5,0)*5</f>
        <v>780</v>
      </c>
      <c r="C22" s="4">
        <f t="shared" si="0"/>
        <v>60</v>
      </c>
    </row>
    <row r="23" spans="1:3">
      <c r="A23" s="4">
        <v>20</v>
      </c>
      <c r="B23" s="4">
        <f>ROUND(IF(A23&lt;=参数说明!$A$14,FORECAST(A23,参数说明!$B$13:$B$14,参数说明!$A$13:$A$14),IF(A23&lt;=参数说明!$A$15,FORECAST(A23,参数说明!$B$14:$B$15,参数说明!$A$14:$A$15),IF(A23&lt;=参数说明!$A$16,FORECAST(A23,参数说明!$B$15:$B$16,参数说明!$A$15:$A$16),IF(A23&lt;=参数说明!$A$17,FORECAST(A23,参数说明!$B$16:$B$17,参数说明!$A$16:$A$17),IF(A23&lt;=参数说明!$A$18,FORECAST(A23,参数说明!$B$17:$B$18,参数说明!$A$17:$A$18),IF(A23&lt;=参数说明!$A$19,FORECAST(A23,参数说明!$B$18:$B$19,参数说明!$A$18:$A$19),FORECAST(A23,参数说明!$B$19:$B$20,参数说明!$A$19:$A$20)))))))/5,0)*5</f>
        <v>840</v>
      </c>
      <c r="C23" s="4">
        <f t="shared" si="0"/>
        <v>65</v>
      </c>
    </row>
    <row r="24" spans="1:3">
      <c r="A24" s="4">
        <v>21</v>
      </c>
      <c r="B24" s="4">
        <f>ROUND(IF(A24&lt;=参数说明!$A$14,FORECAST(A24,参数说明!$B$13:$B$14,参数说明!$A$13:$A$14),IF(A24&lt;=参数说明!$A$15,FORECAST(A24,参数说明!$B$14:$B$15,参数说明!$A$14:$A$15),IF(A24&lt;=参数说明!$A$16,FORECAST(A24,参数说明!$B$15:$B$16,参数说明!$A$15:$A$16),IF(A24&lt;=参数说明!$A$17,FORECAST(A24,参数说明!$B$16:$B$17,参数说明!$A$16:$A$17),IF(A24&lt;=参数说明!$A$18,FORECAST(A24,参数说明!$B$17:$B$18,参数说明!$A$17:$A$18),IF(A24&lt;=参数说明!$A$19,FORECAST(A24,参数说明!$B$18:$B$19,参数说明!$A$18:$A$19),FORECAST(A24,参数说明!$B$19:$B$20,参数说明!$A$19:$A$20)))))))/5,0)*5</f>
        <v>905</v>
      </c>
      <c r="C24" s="4">
        <f t="shared" si="0"/>
        <v>60</v>
      </c>
    </row>
    <row r="25" spans="1:3">
      <c r="A25" s="4">
        <v>22</v>
      </c>
      <c r="B25" s="4">
        <f>ROUND(IF(A25&lt;=参数说明!$A$14,FORECAST(A25,参数说明!$B$13:$B$14,参数说明!$A$13:$A$14),IF(A25&lt;=参数说明!$A$15,FORECAST(A25,参数说明!$B$14:$B$15,参数说明!$A$14:$A$15),IF(A25&lt;=参数说明!$A$16,FORECAST(A25,参数说明!$B$15:$B$16,参数说明!$A$15:$A$16),IF(A25&lt;=参数说明!$A$17,FORECAST(A25,参数说明!$B$16:$B$17,参数说明!$A$16:$A$17),IF(A25&lt;=参数说明!$A$18,FORECAST(A25,参数说明!$B$17:$B$18,参数说明!$A$17:$A$18),IF(A25&lt;=参数说明!$A$19,FORECAST(A25,参数说明!$B$18:$B$19,参数说明!$A$18:$A$19),FORECAST(A25,参数说明!$B$19:$B$20,参数说明!$A$19:$A$20)))))))/5,0)*5</f>
        <v>965</v>
      </c>
      <c r="C25" s="4">
        <f t="shared" si="0"/>
        <v>60</v>
      </c>
    </row>
    <row r="26" spans="1:3">
      <c r="A26" s="4">
        <v>23</v>
      </c>
      <c r="B26" s="4">
        <f>ROUND(IF(A26&lt;=参数说明!$A$14,FORECAST(A26,参数说明!$B$13:$B$14,参数说明!$A$13:$A$14),IF(A26&lt;=参数说明!$A$15,FORECAST(A26,参数说明!$B$14:$B$15,参数说明!$A$14:$A$15),IF(A26&lt;=参数说明!$A$16,FORECAST(A26,参数说明!$B$15:$B$16,参数说明!$A$15:$A$16),IF(A26&lt;=参数说明!$A$17,FORECAST(A26,参数说明!$B$16:$B$17,参数说明!$A$16:$A$17),IF(A26&lt;=参数说明!$A$18,FORECAST(A26,参数说明!$B$17:$B$18,参数说明!$A$17:$A$18),IF(A26&lt;=参数说明!$A$19,FORECAST(A26,参数说明!$B$18:$B$19,参数说明!$A$18:$A$19),FORECAST(A26,参数说明!$B$19:$B$20,参数说明!$A$19:$A$20)))))))/5,0)*5</f>
        <v>1025</v>
      </c>
      <c r="C26" s="4">
        <f t="shared" si="0"/>
        <v>65</v>
      </c>
    </row>
    <row r="27" spans="1:3">
      <c r="A27" s="4">
        <v>24</v>
      </c>
      <c r="B27" s="4">
        <f>ROUND(IF(A27&lt;=参数说明!$A$14,FORECAST(A27,参数说明!$B$13:$B$14,参数说明!$A$13:$A$14),IF(A27&lt;=参数说明!$A$15,FORECAST(A27,参数说明!$B$14:$B$15,参数说明!$A$14:$A$15),IF(A27&lt;=参数说明!$A$16,FORECAST(A27,参数说明!$B$15:$B$16,参数说明!$A$15:$A$16),IF(A27&lt;=参数说明!$A$17,FORECAST(A27,参数说明!$B$16:$B$17,参数说明!$A$16:$A$17),IF(A27&lt;=参数说明!$A$18,FORECAST(A27,参数说明!$B$17:$B$18,参数说明!$A$17:$A$18),IF(A27&lt;=参数说明!$A$19,FORECAST(A27,参数说明!$B$18:$B$19,参数说明!$A$18:$A$19),FORECAST(A27,参数说明!$B$19:$B$20,参数说明!$A$19:$A$20)))))))/5,0)*5</f>
        <v>1090</v>
      </c>
      <c r="C27" s="4">
        <f t="shared" si="0"/>
        <v>60</v>
      </c>
    </row>
    <row r="28" spans="1:3">
      <c r="A28" s="4">
        <v>25</v>
      </c>
      <c r="B28" s="4">
        <f>ROUND(IF(A28&lt;=参数说明!$A$14,FORECAST(A28,参数说明!$B$13:$B$14,参数说明!$A$13:$A$14),IF(A28&lt;=参数说明!$A$15,FORECAST(A28,参数说明!$B$14:$B$15,参数说明!$A$14:$A$15),IF(A28&lt;=参数说明!$A$16,FORECAST(A28,参数说明!$B$15:$B$16,参数说明!$A$15:$A$16),IF(A28&lt;=参数说明!$A$17,FORECAST(A28,参数说明!$B$16:$B$17,参数说明!$A$16:$A$17),IF(A28&lt;=参数说明!$A$18,FORECAST(A28,参数说明!$B$17:$B$18,参数说明!$A$17:$A$18),IF(A28&lt;=参数说明!$A$19,FORECAST(A28,参数说明!$B$18:$B$19,参数说明!$A$18:$A$19),FORECAST(A28,参数说明!$B$19:$B$20,参数说明!$A$19:$A$20)))))))/5,0)*5</f>
        <v>1150</v>
      </c>
      <c r="C28" s="4">
        <f t="shared" si="0"/>
        <v>125</v>
      </c>
    </row>
    <row r="29" spans="1:3">
      <c r="A29" s="4">
        <v>26</v>
      </c>
      <c r="B29" s="4">
        <f>ROUND(IF(A29&lt;=参数说明!$A$14,FORECAST(A29,参数说明!$B$13:$B$14,参数说明!$A$13:$A$14),IF(A29&lt;=参数说明!$A$15,FORECAST(A29,参数说明!$B$14:$B$15,参数说明!$A$14:$A$15),IF(A29&lt;=参数说明!$A$16,FORECAST(A29,参数说明!$B$15:$B$16,参数说明!$A$15:$A$16),IF(A29&lt;=参数说明!$A$17,FORECAST(A29,参数说明!$B$16:$B$17,参数说明!$A$16:$A$17),IF(A29&lt;=参数说明!$A$18,FORECAST(A29,参数说明!$B$17:$B$18,参数说明!$A$17:$A$18),IF(A29&lt;=参数说明!$A$19,FORECAST(A29,参数说明!$B$18:$B$19,参数说明!$A$18:$A$19),FORECAST(A29,参数说明!$B$19:$B$20,参数说明!$A$19:$A$20)))))))/5,0)*5</f>
        <v>1275</v>
      </c>
      <c r="C29" s="4">
        <f t="shared" si="0"/>
        <v>125</v>
      </c>
    </row>
    <row r="30" spans="1:3">
      <c r="A30" s="4">
        <v>27</v>
      </c>
      <c r="B30" s="4">
        <f>ROUND(IF(A30&lt;=参数说明!$A$14,FORECAST(A30,参数说明!$B$13:$B$14,参数说明!$A$13:$A$14),IF(A30&lt;=参数说明!$A$15,FORECAST(A30,参数说明!$B$14:$B$15,参数说明!$A$14:$A$15),IF(A30&lt;=参数说明!$A$16,FORECAST(A30,参数说明!$B$15:$B$16,参数说明!$A$15:$A$16),IF(A30&lt;=参数说明!$A$17,FORECAST(A30,参数说明!$B$16:$B$17,参数说明!$A$16:$A$17),IF(A30&lt;=参数说明!$A$18,FORECAST(A30,参数说明!$B$17:$B$18,参数说明!$A$17:$A$18),IF(A30&lt;=参数说明!$A$19,FORECAST(A30,参数说明!$B$18:$B$19,参数说明!$A$18:$A$19),FORECAST(A30,参数说明!$B$19:$B$20,参数说明!$A$19:$A$20)))))))/5,0)*5</f>
        <v>1400</v>
      </c>
      <c r="C30" s="4">
        <f t="shared" si="0"/>
        <v>125</v>
      </c>
    </row>
    <row r="31" spans="1:3">
      <c r="A31" s="4">
        <v>28</v>
      </c>
      <c r="B31" s="4">
        <f>ROUND(IF(A31&lt;=参数说明!$A$14,FORECAST(A31,参数说明!$B$13:$B$14,参数说明!$A$13:$A$14),IF(A31&lt;=参数说明!$A$15,FORECAST(A31,参数说明!$B$14:$B$15,参数说明!$A$14:$A$15),IF(A31&lt;=参数说明!$A$16,FORECAST(A31,参数说明!$B$15:$B$16,参数说明!$A$15:$A$16),IF(A31&lt;=参数说明!$A$17,FORECAST(A31,参数说明!$B$16:$B$17,参数说明!$A$16:$A$17),IF(A31&lt;=参数说明!$A$18,FORECAST(A31,参数说明!$B$17:$B$18,参数说明!$A$17:$A$18),IF(A31&lt;=参数说明!$A$19,FORECAST(A31,参数说明!$B$18:$B$19,参数说明!$A$18:$A$19),FORECAST(A31,参数说明!$B$19:$B$20,参数说明!$A$19:$A$20)))))))/5,0)*5</f>
        <v>1525</v>
      </c>
      <c r="C31" s="4">
        <f t="shared" si="0"/>
        <v>125</v>
      </c>
    </row>
    <row r="32" spans="1:3">
      <c r="A32" s="4">
        <v>29</v>
      </c>
      <c r="B32" s="4">
        <f>ROUND(IF(A32&lt;=参数说明!$A$14,FORECAST(A32,参数说明!$B$13:$B$14,参数说明!$A$13:$A$14),IF(A32&lt;=参数说明!$A$15,FORECAST(A32,参数说明!$B$14:$B$15,参数说明!$A$14:$A$15),IF(A32&lt;=参数说明!$A$16,FORECAST(A32,参数说明!$B$15:$B$16,参数说明!$A$15:$A$16),IF(A32&lt;=参数说明!$A$17,FORECAST(A32,参数说明!$B$16:$B$17,参数说明!$A$16:$A$17),IF(A32&lt;=参数说明!$A$18,FORECAST(A32,参数说明!$B$17:$B$18,参数说明!$A$17:$A$18),IF(A32&lt;=参数说明!$A$19,FORECAST(A32,参数说明!$B$18:$B$19,参数说明!$A$18:$A$19),FORECAST(A32,参数说明!$B$19:$B$20,参数说明!$A$19:$A$20)))))))/5,0)*5</f>
        <v>1650</v>
      </c>
      <c r="C32" s="4">
        <f t="shared" si="0"/>
        <v>125</v>
      </c>
    </row>
    <row r="33" spans="1:3">
      <c r="A33" s="4">
        <v>30</v>
      </c>
      <c r="B33" s="4">
        <f>ROUND(IF(A33&lt;=参数说明!$A$14,FORECAST(A33,参数说明!$B$13:$B$14,参数说明!$A$13:$A$14),IF(A33&lt;=参数说明!$A$15,FORECAST(A33,参数说明!$B$14:$B$15,参数说明!$A$14:$A$15),IF(A33&lt;=参数说明!$A$16,FORECAST(A33,参数说明!$B$15:$B$16,参数说明!$A$15:$A$16),IF(A33&lt;=参数说明!$A$17,FORECAST(A33,参数说明!$B$16:$B$17,参数说明!$A$16:$A$17),IF(A33&lt;=参数说明!$A$18,FORECAST(A33,参数说明!$B$17:$B$18,参数说明!$A$17:$A$18),IF(A33&lt;=参数说明!$A$19,FORECAST(A33,参数说明!$B$18:$B$19,参数说明!$A$18:$A$19),FORECAST(A33,参数说明!$B$19:$B$20,参数说明!$A$19:$A$20)))))))/5,0)*5</f>
        <v>1775</v>
      </c>
      <c r="C33" s="4">
        <f t="shared" si="0"/>
        <v>125</v>
      </c>
    </row>
    <row r="34" spans="1:3">
      <c r="A34" s="4">
        <v>31</v>
      </c>
      <c r="B34" s="4">
        <f>ROUND(IF(A34&lt;=参数说明!$A$14,FORECAST(A34,参数说明!$B$13:$B$14,参数说明!$A$13:$A$14),IF(A34&lt;=参数说明!$A$15,FORECAST(A34,参数说明!$B$14:$B$15,参数说明!$A$14:$A$15),IF(A34&lt;=参数说明!$A$16,FORECAST(A34,参数说明!$B$15:$B$16,参数说明!$A$15:$A$16),IF(A34&lt;=参数说明!$A$17,FORECAST(A34,参数说明!$B$16:$B$17,参数说明!$A$16:$A$17),IF(A34&lt;=参数说明!$A$18,FORECAST(A34,参数说明!$B$17:$B$18,参数说明!$A$17:$A$18),IF(A34&lt;=参数说明!$A$19,FORECAST(A34,参数说明!$B$18:$B$19,参数说明!$A$18:$A$19),FORECAST(A34,参数说明!$B$19:$B$20,参数说明!$A$19:$A$20)))))))/5,0)*5</f>
        <v>1900</v>
      </c>
      <c r="C34" s="4">
        <f t="shared" si="0"/>
        <v>125</v>
      </c>
    </row>
    <row r="35" spans="1:3">
      <c r="A35" s="4">
        <v>32</v>
      </c>
      <c r="B35" s="4">
        <f>ROUND(IF(A35&lt;=参数说明!$A$14,FORECAST(A35,参数说明!$B$13:$B$14,参数说明!$A$13:$A$14),IF(A35&lt;=参数说明!$A$15,FORECAST(A35,参数说明!$B$14:$B$15,参数说明!$A$14:$A$15),IF(A35&lt;=参数说明!$A$16,FORECAST(A35,参数说明!$B$15:$B$16,参数说明!$A$15:$A$16),IF(A35&lt;=参数说明!$A$17,FORECAST(A35,参数说明!$B$16:$B$17,参数说明!$A$16:$A$17),IF(A35&lt;=参数说明!$A$18,FORECAST(A35,参数说明!$B$17:$B$18,参数说明!$A$17:$A$18),IF(A35&lt;=参数说明!$A$19,FORECAST(A35,参数说明!$B$18:$B$19,参数说明!$A$18:$A$19),FORECAST(A35,参数说明!$B$19:$B$20,参数说明!$A$19:$A$20)))))))/5,0)*5</f>
        <v>2025</v>
      </c>
      <c r="C35" s="4">
        <f t="shared" si="0"/>
        <v>125</v>
      </c>
    </row>
    <row r="36" spans="1:3">
      <c r="A36" s="4">
        <v>33</v>
      </c>
      <c r="B36" s="4">
        <f>ROUND(IF(A36&lt;=参数说明!$A$14,FORECAST(A36,参数说明!$B$13:$B$14,参数说明!$A$13:$A$14),IF(A36&lt;=参数说明!$A$15,FORECAST(A36,参数说明!$B$14:$B$15,参数说明!$A$14:$A$15),IF(A36&lt;=参数说明!$A$16,FORECAST(A36,参数说明!$B$15:$B$16,参数说明!$A$15:$A$16),IF(A36&lt;=参数说明!$A$17,FORECAST(A36,参数说明!$B$16:$B$17,参数说明!$A$16:$A$17),IF(A36&lt;=参数说明!$A$18,FORECAST(A36,参数说明!$B$17:$B$18,参数说明!$A$17:$A$18),IF(A36&lt;=参数说明!$A$19,FORECAST(A36,参数说明!$B$18:$B$19,参数说明!$A$18:$A$19),FORECAST(A36,参数说明!$B$19:$B$20,参数说明!$A$19:$A$20)))))))/5,0)*5</f>
        <v>2150</v>
      </c>
      <c r="C36" s="4">
        <f t="shared" si="0"/>
        <v>125</v>
      </c>
    </row>
    <row r="37" spans="1:3">
      <c r="A37" s="4">
        <v>34</v>
      </c>
      <c r="B37" s="4">
        <f>ROUND(IF(A37&lt;=参数说明!$A$14,FORECAST(A37,参数说明!$B$13:$B$14,参数说明!$A$13:$A$14),IF(A37&lt;=参数说明!$A$15,FORECAST(A37,参数说明!$B$14:$B$15,参数说明!$A$14:$A$15),IF(A37&lt;=参数说明!$A$16,FORECAST(A37,参数说明!$B$15:$B$16,参数说明!$A$15:$A$16),IF(A37&lt;=参数说明!$A$17,FORECAST(A37,参数说明!$B$16:$B$17,参数说明!$A$16:$A$17),IF(A37&lt;=参数说明!$A$18,FORECAST(A37,参数说明!$B$17:$B$18,参数说明!$A$17:$A$18),IF(A37&lt;=参数说明!$A$19,FORECAST(A37,参数说明!$B$18:$B$19,参数说明!$A$18:$A$19),FORECAST(A37,参数说明!$B$19:$B$20,参数说明!$A$19:$A$20)))))))/5,0)*5</f>
        <v>2275</v>
      </c>
      <c r="C37" s="4">
        <f t="shared" si="0"/>
        <v>125</v>
      </c>
    </row>
    <row r="38" spans="1:3">
      <c r="A38" s="4">
        <v>35</v>
      </c>
      <c r="B38" s="4">
        <f>ROUND(IF(A38&lt;=参数说明!$A$14,FORECAST(A38,参数说明!$B$13:$B$14,参数说明!$A$13:$A$14),IF(A38&lt;=参数说明!$A$15,FORECAST(A38,参数说明!$B$14:$B$15,参数说明!$A$14:$A$15),IF(A38&lt;=参数说明!$A$16,FORECAST(A38,参数说明!$B$15:$B$16,参数说明!$A$15:$A$16),IF(A38&lt;=参数说明!$A$17,FORECAST(A38,参数说明!$B$16:$B$17,参数说明!$A$16:$A$17),IF(A38&lt;=参数说明!$A$18,FORECAST(A38,参数说明!$B$17:$B$18,参数说明!$A$17:$A$18),IF(A38&lt;=参数说明!$A$19,FORECAST(A38,参数说明!$B$18:$B$19,参数说明!$A$18:$A$19),FORECAST(A38,参数说明!$B$19:$B$20,参数说明!$A$19:$A$20)))))))/5,0)*5</f>
        <v>2400</v>
      </c>
      <c r="C38" s="4">
        <f t="shared" si="0"/>
        <v>125</v>
      </c>
    </row>
    <row r="39" spans="1:3">
      <c r="A39" s="4">
        <v>36</v>
      </c>
      <c r="B39" s="4">
        <f>ROUND(IF(A39&lt;=参数说明!$A$14,FORECAST(A39,参数说明!$B$13:$B$14,参数说明!$A$13:$A$14),IF(A39&lt;=参数说明!$A$15,FORECAST(A39,参数说明!$B$14:$B$15,参数说明!$A$14:$A$15),IF(A39&lt;=参数说明!$A$16,FORECAST(A39,参数说明!$B$15:$B$16,参数说明!$A$15:$A$16),IF(A39&lt;=参数说明!$A$17,FORECAST(A39,参数说明!$B$16:$B$17,参数说明!$A$16:$A$17),IF(A39&lt;=参数说明!$A$18,FORECAST(A39,参数说明!$B$17:$B$18,参数说明!$A$17:$A$18),IF(A39&lt;=参数说明!$A$19,FORECAST(A39,参数说明!$B$18:$B$19,参数说明!$A$18:$A$19),FORECAST(A39,参数说明!$B$19:$B$20,参数说明!$A$19:$A$20)))))))/5,0)*5</f>
        <v>2525</v>
      </c>
      <c r="C39" s="4">
        <f t="shared" si="0"/>
        <v>125</v>
      </c>
    </row>
    <row r="40" spans="1:3">
      <c r="A40" s="4">
        <v>37</v>
      </c>
      <c r="B40" s="4">
        <f>ROUND(IF(A40&lt;=参数说明!$A$14,FORECAST(A40,参数说明!$B$13:$B$14,参数说明!$A$13:$A$14),IF(A40&lt;=参数说明!$A$15,FORECAST(A40,参数说明!$B$14:$B$15,参数说明!$A$14:$A$15),IF(A40&lt;=参数说明!$A$16,FORECAST(A40,参数说明!$B$15:$B$16,参数说明!$A$15:$A$16),IF(A40&lt;=参数说明!$A$17,FORECAST(A40,参数说明!$B$16:$B$17,参数说明!$A$16:$A$17),IF(A40&lt;=参数说明!$A$18,FORECAST(A40,参数说明!$B$17:$B$18,参数说明!$A$17:$A$18),IF(A40&lt;=参数说明!$A$19,FORECAST(A40,参数说明!$B$18:$B$19,参数说明!$A$18:$A$19),FORECAST(A40,参数说明!$B$19:$B$20,参数说明!$A$19:$A$20)))))))/5,0)*5</f>
        <v>2650</v>
      </c>
      <c r="C40" s="4">
        <f t="shared" si="0"/>
        <v>225</v>
      </c>
    </row>
    <row r="41" spans="1:3">
      <c r="A41" s="4">
        <v>38</v>
      </c>
      <c r="B41" s="4">
        <f>ROUND(IF(A41&lt;=参数说明!$A$14,FORECAST(A41,参数说明!$B$13:$B$14,参数说明!$A$13:$A$14),IF(A41&lt;=参数说明!$A$15,FORECAST(A41,参数说明!$B$14:$B$15,参数说明!$A$14:$A$15),IF(A41&lt;=参数说明!$A$16,FORECAST(A41,参数说明!$B$15:$B$16,参数说明!$A$15:$A$16),IF(A41&lt;=参数说明!$A$17,FORECAST(A41,参数说明!$B$16:$B$17,参数说明!$A$16:$A$17),IF(A41&lt;=参数说明!$A$18,FORECAST(A41,参数说明!$B$17:$B$18,参数说明!$A$17:$A$18),IF(A41&lt;=参数说明!$A$19,FORECAST(A41,参数说明!$B$18:$B$19,参数说明!$A$18:$A$19),FORECAST(A41,参数说明!$B$19:$B$20,参数说明!$A$19:$A$20)))))))/5,0)*5</f>
        <v>2875</v>
      </c>
      <c r="C41" s="4">
        <f t="shared" si="0"/>
        <v>225</v>
      </c>
    </row>
    <row r="42" spans="1:3">
      <c r="A42" s="4">
        <v>39</v>
      </c>
      <c r="B42" s="4">
        <f>ROUND(IF(A42&lt;=参数说明!$A$14,FORECAST(A42,参数说明!$B$13:$B$14,参数说明!$A$13:$A$14),IF(A42&lt;=参数说明!$A$15,FORECAST(A42,参数说明!$B$14:$B$15,参数说明!$A$14:$A$15),IF(A42&lt;=参数说明!$A$16,FORECAST(A42,参数说明!$B$15:$B$16,参数说明!$A$15:$A$16),IF(A42&lt;=参数说明!$A$17,FORECAST(A42,参数说明!$B$16:$B$17,参数说明!$A$16:$A$17),IF(A42&lt;=参数说明!$A$18,FORECAST(A42,参数说明!$B$17:$B$18,参数说明!$A$17:$A$18),IF(A42&lt;=参数说明!$A$19,FORECAST(A42,参数说明!$B$18:$B$19,参数说明!$A$18:$A$19),FORECAST(A42,参数说明!$B$19:$B$20,参数说明!$A$19:$A$20)))))))/5,0)*5</f>
        <v>3100</v>
      </c>
      <c r="C42" s="4">
        <f t="shared" si="0"/>
        <v>225</v>
      </c>
    </row>
    <row r="43" spans="1:3">
      <c r="A43" s="4">
        <v>40</v>
      </c>
      <c r="B43" s="4">
        <f>ROUND(IF(A43&lt;=参数说明!$A$14,FORECAST(A43,参数说明!$B$13:$B$14,参数说明!$A$13:$A$14),IF(A43&lt;=参数说明!$A$15,FORECAST(A43,参数说明!$B$14:$B$15,参数说明!$A$14:$A$15),IF(A43&lt;=参数说明!$A$16,FORECAST(A43,参数说明!$B$15:$B$16,参数说明!$A$15:$A$16),IF(A43&lt;=参数说明!$A$17,FORECAST(A43,参数说明!$B$16:$B$17,参数说明!$A$16:$A$17),IF(A43&lt;=参数说明!$A$18,FORECAST(A43,参数说明!$B$17:$B$18,参数说明!$A$17:$A$18),IF(A43&lt;=参数说明!$A$19,FORECAST(A43,参数说明!$B$18:$B$19,参数说明!$A$18:$A$19),FORECAST(A43,参数说明!$B$19:$B$20,参数说明!$A$19:$A$20)))))))/5,0)*5</f>
        <v>3325</v>
      </c>
      <c r="C43" s="4">
        <f t="shared" si="0"/>
        <v>225</v>
      </c>
    </row>
    <row r="44" spans="1:3">
      <c r="A44" s="4">
        <v>41</v>
      </c>
      <c r="B44" s="4">
        <f>ROUND(IF(A44&lt;=参数说明!$A$14,FORECAST(A44,参数说明!$B$13:$B$14,参数说明!$A$13:$A$14),IF(A44&lt;=参数说明!$A$15,FORECAST(A44,参数说明!$B$14:$B$15,参数说明!$A$14:$A$15),IF(A44&lt;=参数说明!$A$16,FORECAST(A44,参数说明!$B$15:$B$16,参数说明!$A$15:$A$16),IF(A44&lt;=参数说明!$A$17,FORECAST(A44,参数说明!$B$16:$B$17,参数说明!$A$16:$A$17),IF(A44&lt;=参数说明!$A$18,FORECAST(A44,参数说明!$B$17:$B$18,参数说明!$A$17:$A$18),IF(A44&lt;=参数说明!$A$19,FORECAST(A44,参数说明!$B$18:$B$19,参数说明!$A$18:$A$19),FORECAST(A44,参数说明!$B$19:$B$20,参数说明!$A$19:$A$20)))))))/5,0)*5</f>
        <v>3550</v>
      </c>
      <c r="C44" s="4">
        <f t="shared" si="0"/>
        <v>225</v>
      </c>
    </row>
    <row r="45" spans="1:3">
      <c r="A45" s="4">
        <v>42</v>
      </c>
      <c r="B45" s="4">
        <f>ROUND(IF(A45&lt;=参数说明!$A$14,FORECAST(A45,参数说明!$B$13:$B$14,参数说明!$A$13:$A$14),IF(A45&lt;=参数说明!$A$15,FORECAST(A45,参数说明!$B$14:$B$15,参数说明!$A$14:$A$15),IF(A45&lt;=参数说明!$A$16,FORECAST(A45,参数说明!$B$15:$B$16,参数说明!$A$15:$A$16),IF(A45&lt;=参数说明!$A$17,FORECAST(A45,参数说明!$B$16:$B$17,参数说明!$A$16:$A$17),IF(A45&lt;=参数说明!$A$18,FORECAST(A45,参数说明!$B$17:$B$18,参数说明!$A$17:$A$18),IF(A45&lt;=参数说明!$A$19,FORECAST(A45,参数说明!$B$18:$B$19,参数说明!$A$18:$A$19),FORECAST(A45,参数说明!$B$19:$B$20,参数说明!$A$19:$A$20)))))))/5,0)*5</f>
        <v>3775</v>
      </c>
      <c r="C45" s="4">
        <f t="shared" si="0"/>
        <v>225</v>
      </c>
    </row>
    <row r="46" spans="1:3">
      <c r="A46" s="4">
        <v>43</v>
      </c>
      <c r="B46" s="4">
        <f>ROUND(IF(A46&lt;=参数说明!$A$14,FORECAST(A46,参数说明!$B$13:$B$14,参数说明!$A$13:$A$14),IF(A46&lt;=参数说明!$A$15,FORECAST(A46,参数说明!$B$14:$B$15,参数说明!$A$14:$A$15),IF(A46&lt;=参数说明!$A$16,FORECAST(A46,参数说明!$B$15:$B$16,参数说明!$A$15:$A$16),IF(A46&lt;=参数说明!$A$17,FORECAST(A46,参数说明!$B$16:$B$17,参数说明!$A$16:$A$17),IF(A46&lt;=参数说明!$A$18,FORECAST(A46,参数说明!$B$17:$B$18,参数说明!$A$17:$A$18),IF(A46&lt;=参数说明!$A$19,FORECAST(A46,参数说明!$B$18:$B$19,参数说明!$A$18:$A$19),FORECAST(A46,参数说明!$B$19:$B$20,参数说明!$A$19:$A$20)))))))/5,0)*5</f>
        <v>4000</v>
      </c>
      <c r="C46" s="4">
        <f t="shared" si="0"/>
        <v>225</v>
      </c>
    </row>
    <row r="47" spans="1:3">
      <c r="A47" s="4">
        <v>44</v>
      </c>
      <c r="B47" s="4">
        <f>ROUND(IF(A47&lt;=参数说明!$A$14,FORECAST(A47,参数说明!$B$13:$B$14,参数说明!$A$13:$A$14),IF(A47&lt;=参数说明!$A$15,FORECAST(A47,参数说明!$B$14:$B$15,参数说明!$A$14:$A$15),IF(A47&lt;=参数说明!$A$16,FORECAST(A47,参数说明!$B$15:$B$16,参数说明!$A$15:$A$16),IF(A47&lt;=参数说明!$A$17,FORECAST(A47,参数说明!$B$16:$B$17,参数说明!$A$16:$A$17),IF(A47&lt;=参数说明!$A$18,FORECAST(A47,参数说明!$B$17:$B$18,参数说明!$A$17:$A$18),IF(A47&lt;=参数说明!$A$19,FORECAST(A47,参数说明!$B$18:$B$19,参数说明!$A$18:$A$19),FORECAST(A47,参数说明!$B$19:$B$20,参数说明!$A$19:$A$20)))))))/5,0)*5</f>
        <v>4225</v>
      </c>
      <c r="C47" s="4">
        <f t="shared" si="0"/>
        <v>225</v>
      </c>
    </row>
    <row r="48" spans="1:3">
      <c r="A48" s="4">
        <v>45</v>
      </c>
      <c r="B48" s="4">
        <f>ROUND(IF(A48&lt;=参数说明!$A$14,FORECAST(A48,参数说明!$B$13:$B$14,参数说明!$A$13:$A$14),IF(A48&lt;=参数说明!$A$15,FORECAST(A48,参数说明!$B$14:$B$15,参数说明!$A$14:$A$15),IF(A48&lt;=参数说明!$A$16,FORECAST(A48,参数说明!$B$15:$B$16,参数说明!$A$15:$A$16),IF(A48&lt;=参数说明!$A$17,FORECAST(A48,参数说明!$B$16:$B$17,参数说明!$A$16:$A$17),IF(A48&lt;=参数说明!$A$18,FORECAST(A48,参数说明!$B$17:$B$18,参数说明!$A$17:$A$18),IF(A48&lt;=参数说明!$A$19,FORECAST(A48,参数说明!$B$18:$B$19,参数说明!$A$18:$A$19),FORECAST(A48,参数说明!$B$19:$B$20,参数说明!$A$19:$A$20)))))))/5,0)*5</f>
        <v>4450</v>
      </c>
      <c r="C48" s="4">
        <f t="shared" si="0"/>
        <v>325</v>
      </c>
    </row>
    <row r="49" spans="1:3">
      <c r="A49" s="4">
        <v>46</v>
      </c>
      <c r="B49" s="4">
        <f>ROUND(IF(A49&lt;=参数说明!$A$14,FORECAST(A49,参数说明!$B$13:$B$14,参数说明!$A$13:$A$14),IF(A49&lt;=参数说明!$A$15,FORECAST(A49,参数说明!$B$14:$B$15,参数说明!$A$14:$A$15),IF(A49&lt;=参数说明!$A$16,FORECAST(A49,参数说明!$B$15:$B$16,参数说明!$A$15:$A$16),IF(A49&lt;=参数说明!$A$17,FORECAST(A49,参数说明!$B$16:$B$17,参数说明!$A$16:$A$17),IF(A49&lt;=参数说明!$A$18,FORECAST(A49,参数说明!$B$17:$B$18,参数说明!$A$17:$A$18),IF(A49&lt;=参数说明!$A$19,FORECAST(A49,参数说明!$B$18:$B$19,参数说明!$A$18:$A$19),FORECAST(A49,参数说明!$B$19:$B$20,参数说明!$A$19:$A$20)))))))/5,0)*5</f>
        <v>4775</v>
      </c>
      <c r="C49" s="4">
        <f t="shared" si="0"/>
        <v>330</v>
      </c>
    </row>
    <row r="50" spans="1:3">
      <c r="A50" s="4">
        <v>47</v>
      </c>
      <c r="B50" s="4">
        <f>ROUND(IF(A50&lt;=参数说明!$A$14,FORECAST(A50,参数说明!$B$13:$B$14,参数说明!$A$13:$A$14),IF(A50&lt;=参数说明!$A$15,FORECAST(A50,参数说明!$B$14:$B$15,参数说明!$A$14:$A$15),IF(A50&lt;=参数说明!$A$16,FORECAST(A50,参数说明!$B$15:$B$16,参数说明!$A$15:$A$16),IF(A50&lt;=参数说明!$A$17,FORECAST(A50,参数说明!$B$16:$B$17,参数说明!$A$16:$A$17),IF(A50&lt;=参数说明!$A$18,FORECAST(A50,参数说明!$B$17:$B$18,参数说明!$A$17:$A$18),IF(A50&lt;=参数说明!$A$19,FORECAST(A50,参数说明!$B$18:$B$19,参数说明!$A$18:$A$19),FORECAST(A50,参数说明!$B$19:$B$20,参数说明!$A$19:$A$20)))))))/5,0)*5</f>
        <v>5105</v>
      </c>
      <c r="C50" s="4">
        <f t="shared" si="0"/>
        <v>325</v>
      </c>
    </row>
    <row r="51" spans="1:3">
      <c r="A51" s="4">
        <v>48</v>
      </c>
      <c r="B51" s="4">
        <f>ROUND(IF(A51&lt;=参数说明!$A$14,FORECAST(A51,参数说明!$B$13:$B$14,参数说明!$A$13:$A$14),IF(A51&lt;=参数说明!$A$15,FORECAST(A51,参数说明!$B$14:$B$15,参数说明!$A$14:$A$15),IF(A51&lt;=参数说明!$A$16,FORECAST(A51,参数说明!$B$15:$B$16,参数说明!$A$15:$A$16),IF(A51&lt;=参数说明!$A$17,FORECAST(A51,参数说明!$B$16:$B$17,参数说明!$A$16:$A$17),IF(A51&lt;=参数说明!$A$18,FORECAST(A51,参数说明!$B$17:$B$18,参数说明!$A$17:$A$18),IF(A51&lt;=参数说明!$A$19,FORECAST(A51,参数说明!$B$18:$B$19,参数说明!$A$18:$A$19),FORECAST(A51,参数说明!$B$19:$B$20,参数说明!$A$19:$A$20)))))))/5,0)*5</f>
        <v>5430</v>
      </c>
      <c r="C51" s="4">
        <f t="shared" si="0"/>
        <v>330</v>
      </c>
    </row>
    <row r="52" spans="1:3">
      <c r="A52" s="4">
        <v>49</v>
      </c>
      <c r="B52" s="4">
        <f>ROUND(IF(A52&lt;=参数说明!$A$14,FORECAST(A52,参数说明!$B$13:$B$14,参数说明!$A$13:$A$14),IF(A52&lt;=参数说明!$A$15,FORECAST(A52,参数说明!$B$14:$B$15,参数说明!$A$14:$A$15),IF(A52&lt;=参数说明!$A$16,FORECAST(A52,参数说明!$B$15:$B$16,参数说明!$A$15:$A$16),IF(A52&lt;=参数说明!$A$17,FORECAST(A52,参数说明!$B$16:$B$17,参数说明!$A$16:$A$17),IF(A52&lt;=参数说明!$A$18,FORECAST(A52,参数说明!$B$17:$B$18,参数说明!$A$17:$A$18),IF(A52&lt;=参数说明!$A$19,FORECAST(A52,参数说明!$B$18:$B$19,参数说明!$A$18:$A$19),FORECAST(A52,参数说明!$B$19:$B$20,参数说明!$A$19:$A$20)))))))/5,0)*5</f>
        <v>5760</v>
      </c>
      <c r="C52" s="4">
        <f t="shared" si="0"/>
        <v>325</v>
      </c>
    </row>
    <row r="53" spans="1:3">
      <c r="A53" s="4">
        <v>50</v>
      </c>
      <c r="B53" s="4">
        <f>ROUND(IF(A53&lt;=参数说明!$A$14,FORECAST(A53,参数说明!$B$13:$B$14,参数说明!$A$13:$A$14),IF(A53&lt;=参数说明!$A$15,FORECAST(A53,参数说明!$B$14:$B$15,参数说明!$A$14:$A$15),IF(A53&lt;=参数说明!$A$16,FORECAST(A53,参数说明!$B$15:$B$16,参数说明!$A$15:$A$16),IF(A53&lt;=参数说明!$A$17,FORECAST(A53,参数说明!$B$16:$B$17,参数说明!$A$16:$A$17),IF(A53&lt;=参数说明!$A$18,FORECAST(A53,参数说明!$B$17:$B$18,参数说明!$A$17:$A$18),IF(A53&lt;=参数说明!$A$19,FORECAST(A53,参数说明!$B$18:$B$19,参数说明!$A$18:$A$19),FORECAST(A53,参数说明!$B$19:$B$20,参数说明!$A$19:$A$20)))))))/5,0)*5</f>
        <v>6085</v>
      </c>
      <c r="C53" s="4">
        <f t="shared" si="0"/>
        <v>330</v>
      </c>
    </row>
    <row r="54" spans="1:3">
      <c r="A54" s="4">
        <v>51</v>
      </c>
      <c r="B54" s="4">
        <f>ROUND(IF(A54&lt;=参数说明!$A$14,FORECAST(A54,参数说明!$B$13:$B$14,参数说明!$A$13:$A$14),IF(A54&lt;=参数说明!$A$15,FORECAST(A54,参数说明!$B$14:$B$15,参数说明!$A$14:$A$15),IF(A54&lt;=参数说明!$A$16,FORECAST(A54,参数说明!$B$15:$B$16,参数说明!$A$15:$A$16),IF(A54&lt;=参数说明!$A$17,FORECAST(A54,参数说明!$B$16:$B$17,参数说明!$A$16:$A$17),IF(A54&lt;=参数说明!$A$18,FORECAST(A54,参数说明!$B$17:$B$18,参数说明!$A$17:$A$18),IF(A54&lt;=参数说明!$A$19,FORECAST(A54,参数说明!$B$18:$B$19,参数说明!$A$18:$A$19),FORECAST(A54,参数说明!$B$19:$B$20,参数说明!$A$19:$A$20)))))))/5,0)*5</f>
        <v>6415</v>
      </c>
      <c r="C54" s="4">
        <f t="shared" si="0"/>
        <v>325</v>
      </c>
    </row>
    <row r="55" spans="1:3">
      <c r="A55" s="4">
        <v>52</v>
      </c>
      <c r="B55" s="4">
        <f>ROUND(IF(A55&lt;=参数说明!$A$14,FORECAST(A55,参数说明!$B$13:$B$14,参数说明!$A$13:$A$14),IF(A55&lt;=参数说明!$A$15,FORECAST(A55,参数说明!$B$14:$B$15,参数说明!$A$14:$A$15),IF(A55&lt;=参数说明!$A$16,FORECAST(A55,参数说明!$B$15:$B$16,参数说明!$A$15:$A$16),IF(A55&lt;=参数说明!$A$17,FORECAST(A55,参数说明!$B$16:$B$17,参数说明!$A$16:$A$17),IF(A55&lt;=参数说明!$A$18,FORECAST(A55,参数说明!$B$17:$B$18,参数说明!$A$17:$A$18),IF(A55&lt;=参数说明!$A$19,FORECAST(A55,参数说明!$B$18:$B$19,参数说明!$A$18:$A$19),FORECAST(A55,参数说明!$B$19:$B$20,参数说明!$A$19:$A$20)))))))/5,0)*5</f>
        <v>6740</v>
      </c>
      <c r="C55" s="4">
        <f t="shared" si="0"/>
        <v>330</v>
      </c>
    </row>
    <row r="56" spans="1:3">
      <c r="A56" s="4">
        <v>53</v>
      </c>
      <c r="B56" s="4">
        <f>ROUND(IF(A56&lt;=参数说明!$A$14,FORECAST(A56,参数说明!$B$13:$B$14,参数说明!$A$13:$A$14),IF(A56&lt;=参数说明!$A$15,FORECAST(A56,参数说明!$B$14:$B$15,参数说明!$A$14:$A$15),IF(A56&lt;=参数说明!$A$16,FORECAST(A56,参数说明!$B$15:$B$16,参数说明!$A$15:$A$16),IF(A56&lt;=参数说明!$A$17,FORECAST(A56,参数说明!$B$16:$B$17,参数说明!$A$16:$A$17),IF(A56&lt;=参数说明!$A$18,FORECAST(A56,参数说明!$B$17:$B$18,参数说明!$A$17:$A$18),IF(A56&lt;=参数说明!$A$19,FORECAST(A56,参数说明!$B$18:$B$19,参数说明!$A$18:$A$19),FORECAST(A56,参数说明!$B$19:$B$20,参数说明!$A$19:$A$20)))))))/5,0)*5</f>
        <v>7070</v>
      </c>
      <c r="C56" s="4">
        <f t="shared" si="0"/>
        <v>325</v>
      </c>
    </row>
    <row r="57" spans="1:3">
      <c r="A57" s="4">
        <v>54</v>
      </c>
      <c r="B57" s="4">
        <f>ROUND(IF(A57&lt;=参数说明!$A$14,FORECAST(A57,参数说明!$B$13:$B$14,参数说明!$A$13:$A$14),IF(A57&lt;=参数说明!$A$15,FORECAST(A57,参数说明!$B$14:$B$15,参数说明!$A$14:$A$15),IF(A57&lt;=参数说明!$A$16,FORECAST(A57,参数说明!$B$15:$B$16,参数说明!$A$15:$A$16),IF(A57&lt;=参数说明!$A$17,FORECAST(A57,参数说明!$B$16:$B$17,参数说明!$A$16:$A$17),IF(A57&lt;=参数说明!$A$18,FORECAST(A57,参数说明!$B$17:$B$18,参数说明!$A$17:$A$18),IF(A57&lt;=参数说明!$A$19,FORECAST(A57,参数说明!$B$18:$B$19,参数说明!$A$18:$A$19),FORECAST(A57,参数说明!$B$19:$B$20,参数说明!$A$19:$A$20)))))))/5,0)*5</f>
        <v>7395</v>
      </c>
      <c r="C57" s="4">
        <f t="shared" si="0"/>
        <v>330</v>
      </c>
    </row>
    <row r="58" spans="1:3">
      <c r="A58" s="4">
        <v>55</v>
      </c>
      <c r="B58" s="4">
        <f>ROUND(IF(A58&lt;=参数说明!$A$14,FORECAST(A58,参数说明!$B$13:$B$14,参数说明!$A$13:$A$14),IF(A58&lt;=参数说明!$A$15,FORECAST(A58,参数说明!$B$14:$B$15,参数说明!$A$14:$A$15),IF(A58&lt;=参数说明!$A$16,FORECAST(A58,参数说明!$B$15:$B$16,参数说明!$A$15:$A$16),IF(A58&lt;=参数说明!$A$17,FORECAST(A58,参数说明!$B$16:$B$17,参数说明!$A$16:$A$17),IF(A58&lt;=参数说明!$A$18,FORECAST(A58,参数说明!$B$17:$B$18,参数说明!$A$17:$A$18),IF(A58&lt;=参数说明!$A$19,FORECAST(A58,参数说明!$B$18:$B$19,参数说明!$A$18:$A$19),FORECAST(A58,参数说明!$B$19:$B$20,参数说明!$A$19:$A$20)))))))/5,0)*5</f>
        <v>7725</v>
      </c>
      <c r="C58" s="4">
        <f t="shared" si="0"/>
        <v>325</v>
      </c>
    </row>
    <row r="59" spans="1:3">
      <c r="A59" s="4">
        <v>56</v>
      </c>
      <c r="B59" s="4">
        <f>ROUND(IF(A59&lt;=参数说明!$A$14,FORECAST(A59,参数说明!$B$13:$B$14,参数说明!$A$13:$A$14),IF(A59&lt;=参数说明!$A$15,FORECAST(A59,参数说明!$B$14:$B$15,参数说明!$A$14:$A$15),IF(A59&lt;=参数说明!$A$16,FORECAST(A59,参数说明!$B$15:$B$16,参数说明!$A$15:$A$16),IF(A59&lt;=参数说明!$A$17,FORECAST(A59,参数说明!$B$16:$B$17,参数说明!$A$16:$A$17),IF(A59&lt;=参数说明!$A$18,FORECAST(A59,参数说明!$B$17:$B$18,参数说明!$A$17:$A$18),IF(A59&lt;=参数说明!$A$19,FORECAST(A59,参数说明!$B$18:$B$19,参数说明!$A$18:$A$19),FORECAST(A59,参数说明!$B$19:$B$20,参数说明!$A$19:$A$20)))))))/5,0)*5</f>
        <v>8050</v>
      </c>
      <c r="C59" s="4">
        <f t="shared" si="0"/>
        <v>325</v>
      </c>
    </row>
    <row r="60" spans="1:3">
      <c r="A60" s="4">
        <v>57</v>
      </c>
      <c r="B60" s="4">
        <f>ROUND(IF(A60&lt;=参数说明!$A$14,FORECAST(A60,参数说明!$B$13:$B$14,参数说明!$A$13:$A$14),IF(A60&lt;=参数说明!$A$15,FORECAST(A60,参数说明!$B$14:$B$15,参数说明!$A$14:$A$15),IF(A60&lt;=参数说明!$A$16,FORECAST(A60,参数说明!$B$15:$B$16,参数说明!$A$15:$A$16),IF(A60&lt;=参数说明!$A$17,FORECAST(A60,参数说明!$B$16:$B$17,参数说明!$A$16:$A$17),IF(A60&lt;=参数说明!$A$18,FORECAST(A60,参数说明!$B$17:$B$18,参数说明!$A$17:$A$18),IF(A60&lt;=参数说明!$A$19,FORECAST(A60,参数说明!$B$18:$B$19,参数说明!$A$18:$A$19),FORECAST(A60,参数说明!$B$19:$B$20,参数说明!$A$19:$A$20)))))))/5,0)*5</f>
        <v>8375</v>
      </c>
      <c r="C60" s="4">
        <f t="shared" si="0"/>
        <v>330</v>
      </c>
    </row>
    <row r="61" spans="1:3">
      <c r="A61" s="4">
        <v>58</v>
      </c>
      <c r="B61" s="4">
        <f>ROUND(IF(A61&lt;=参数说明!$A$14,FORECAST(A61,参数说明!$B$13:$B$14,参数说明!$A$13:$A$14),IF(A61&lt;=参数说明!$A$15,FORECAST(A61,参数说明!$B$14:$B$15,参数说明!$A$14:$A$15),IF(A61&lt;=参数说明!$A$16,FORECAST(A61,参数说明!$B$15:$B$16,参数说明!$A$15:$A$16),IF(A61&lt;=参数说明!$A$17,FORECAST(A61,参数说明!$B$16:$B$17,参数说明!$A$16:$A$17),IF(A61&lt;=参数说明!$A$18,FORECAST(A61,参数说明!$B$17:$B$18,参数说明!$A$17:$A$18),IF(A61&lt;=参数说明!$A$19,FORECAST(A61,参数说明!$B$18:$B$19,参数说明!$A$18:$A$19),FORECAST(A61,参数说明!$B$19:$B$20,参数说明!$A$19:$A$20)))))))/5,0)*5</f>
        <v>8705</v>
      </c>
      <c r="C61" s="4">
        <f t="shared" si="0"/>
        <v>325</v>
      </c>
    </row>
    <row r="62" spans="1:3">
      <c r="A62" s="4">
        <v>59</v>
      </c>
      <c r="B62" s="4">
        <f>ROUND(IF(A62&lt;=参数说明!$A$14,FORECAST(A62,参数说明!$B$13:$B$14,参数说明!$A$13:$A$14),IF(A62&lt;=参数说明!$A$15,FORECAST(A62,参数说明!$B$14:$B$15,参数说明!$A$14:$A$15),IF(A62&lt;=参数说明!$A$16,FORECAST(A62,参数说明!$B$15:$B$16,参数说明!$A$15:$A$16),IF(A62&lt;=参数说明!$A$17,FORECAST(A62,参数说明!$B$16:$B$17,参数说明!$A$16:$A$17),IF(A62&lt;=参数说明!$A$18,FORECAST(A62,参数说明!$B$17:$B$18,参数说明!$A$17:$A$18),IF(A62&lt;=参数说明!$A$19,FORECAST(A62,参数说明!$B$18:$B$19,参数说明!$A$18:$A$19),FORECAST(A62,参数说明!$B$19:$B$20,参数说明!$A$19:$A$20)))))))/5,0)*5</f>
        <v>9030</v>
      </c>
      <c r="C62" s="4">
        <f t="shared" si="0"/>
        <v>330</v>
      </c>
    </row>
    <row r="63" spans="1:3">
      <c r="A63" s="4">
        <v>60</v>
      </c>
      <c r="B63" s="4">
        <f>ROUND(IF(A63&lt;=参数说明!$A$14,FORECAST(A63,参数说明!$B$13:$B$14,参数说明!$A$13:$A$14),IF(A63&lt;=参数说明!$A$15,FORECAST(A63,参数说明!$B$14:$B$15,参数说明!$A$14:$A$15),IF(A63&lt;=参数说明!$A$16,FORECAST(A63,参数说明!$B$15:$B$16,参数说明!$A$15:$A$16),IF(A63&lt;=参数说明!$A$17,FORECAST(A63,参数说明!$B$16:$B$17,参数说明!$A$16:$A$17),IF(A63&lt;=参数说明!$A$18,FORECAST(A63,参数说明!$B$17:$B$18,参数说明!$A$17:$A$18),IF(A63&lt;=参数说明!$A$19,FORECAST(A63,参数说明!$B$18:$B$19,参数说明!$A$18:$A$19),FORECAST(A63,参数说明!$B$19:$B$20,参数说明!$A$19:$A$20)))))))/5,0)*5</f>
        <v>9360</v>
      </c>
      <c r="C63" s="4">
        <f t="shared" si="0"/>
        <v>325</v>
      </c>
    </row>
    <row r="64" spans="1:3">
      <c r="A64" s="4">
        <v>61</v>
      </c>
      <c r="B64" s="4">
        <f>ROUND(IF(A64&lt;=参数说明!$A$14,FORECAST(A64,参数说明!$B$13:$B$14,参数说明!$A$13:$A$14),IF(A64&lt;=参数说明!$A$15,FORECAST(A64,参数说明!$B$14:$B$15,参数说明!$A$14:$A$15),IF(A64&lt;=参数说明!$A$16,FORECAST(A64,参数说明!$B$15:$B$16,参数说明!$A$15:$A$16),IF(A64&lt;=参数说明!$A$17,FORECAST(A64,参数说明!$B$16:$B$17,参数说明!$A$16:$A$17),IF(A64&lt;=参数说明!$A$18,FORECAST(A64,参数说明!$B$17:$B$18,参数说明!$A$17:$A$18),IF(A64&lt;=参数说明!$A$19,FORECAST(A64,参数说明!$B$18:$B$19,参数说明!$A$18:$A$19),FORECAST(A64,参数说明!$B$19:$B$20,参数说明!$A$19:$A$20)))))))/5,0)*5</f>
        <v>9685</v>
      </c>
      <c r="C64" s="4">
        <f t="shared" si="0"/>
        <v>330</v>
      </c>
    </row>
    <row r="65" spans="1:3">
      <c r="A65" s="4">
        <v>62</v>
      </c>
      <c r="B65" s="4">
        <f>ROUND(IF(A65&lt;=参数说明!$A$14,FORECAST(A65,参数说明!$B$13:$B$14,参数说明!$A$13:$A$14),IF(A65&lt;=参数说明!$A$15,FORECAST(A65,参数说明!$B$14:$B$15,参数说明!$A$14:$A$15),IF(A65&lt;=参数说明!$A$16,FORECAST(A65,参数说明!$B$15:$B$16,参数说明!$A$15:$A$16),IF(A65&lt;=参数说明!$A$17,FORECAST(A65,参数说明!$B$16:$B$17,参数说明!$A$16:$A$17),IF(A65&lt;=参数说明!$A$18,FORECAST(A65,参数说明!$B$17:$B$18,参数说明!$A$17:$A$18),IF(A65&lt;=参数说明!$A$19,FORECAST(A65,参数说明!$B$18:$B$19,参数说明!$A$18:$A$19),FORECAST(A65,参数说明!$B$19:$B$20,参数说明!$A$19:$A$20)))))))/5,0)*5</f>
        <v>10015</v>
      </c>
      <c r="C65" s="4">
        <f t="shared" si="0"/>
        <v>325</v>
      </c>
    </row>
    <row r="66" spans="1:3">
      <c r="A66" s="4">
        <v>63</v>
      </c>
      <c r="B66" s="4">
        <f>ROUND(IF(A66&lt;=参数说明!$A$14,FORECAST(A66,参数说明!$B$13:$B$14,参数说明!$A$13:$A$14),IF(A66&lt;=参数说明!$A$15,FORECAST(A66,参数说明!$B$14:$B$15,参数说明!$A$14:$A$15),IF(A66&lt;=参数说明!$A$16,FORECAST(A66,参数说明!$B$15:$B$16,参数说明!$A$15:$A$16),IF(A66&lt;=参数说明!$A$17,FORECAST(A66,参数说明!$B$16:$B$17,参数说明!$A$16:$A$17),IF(A66&lt;=参数说明!$A$18,FORECAST(A66,参数说明!$B$17:$B$18,参数说明!$A$17:$A$18),IF(A66&lt;=参数说明!$A$19,FORECAST(A66,参数说明!$B$18:$B$19,参数说明!$A$18:$A$19),FORECAST(A66,参数说明!$B$19:$B$20,参数说明!$A$19:$A$20)))))))/5,0)*5</f>
        <v>10340</v>
      </c>
      <c r="C66" s="4">
        <f t="shared" si="0"/>
        <v>330</v>
      </c>
    </row>
    <row r="67" spans="1:3">
      <c r="A67" s="4">
        <v>64</v>
      </c>
      <c r="B67" s="4">
        <f>ROUND(IF(A67&lt;=参数说明!$A$14,FORECAST(A67,参数说明!$B$13:$B$14,参数说明!$A$13:$A$14),IF(A67&lt;=参数说明!$A$15,FORECAST(A67,参数说明!$B$14:$B$15,参数说明!$A$14:$A$15),IF(A67&lt;=参数说明!$A$16,FORECAST(A67,参数说明!$B$15:$B$16,参数说明!$A$15:$A$16),IF(A67&lt;=参数说明!$A$17,FORECAST(A67,参数说明!$B$16:$B$17,参数说明!$A$16:$A$17),IF(A67&lt;=参数说明!$A$18,FORECAST(A67,参数说明!$B$17:$B$18,参数说明!$A$17:$A$18),IF(A67&lt;=参数说明!$A$19,FORECAST(A67,参数说明!$B$18:$B$19,参数说明!$A$18:$A$19),FORECAST(A67,参数说明!$B$19:$B$20,参数说明!$A$19:$A$20)))))))/5,0)*5</f>
        <v>10670</v>
      </c>
      <c r="C67" s="4">
        <f t="shared" si="0"/>
        <v>325</v>
      </c>
    </row>
    <row r="68" spans="1:3">
      <c r="A68" s="4">
        <v>65</v>
      </c>
      <c r="B68" s="4">
        <f>ROUND(IF(A68&lt;=参数说明!$A$14,FORECAST(A68,参数说明!$B$13:$B$14,参数说明!$A$13:$A$14),IF(A68&lt;=参数说明!$A$15,FORECAST(A68,参数说明!$B$14:$B$15,参数说明!$A$14:$A$15),IF(A68&lt;=参数说明!$A$16,FORECAST(A68,参数说明!$B$15:$B$16,参数说明!$A$15:$A$16),IF(A68&lt;=参数说明!$A$17,FORECAST(A68,参数说明!$B$16:$B$17,参数说明!$A$16:$A$17),IF(A68&lt;=参数说明!$A$18,FORECAST(A68,参数说明!$B$17:$B$18,参数说明!$A$17:$A$18),IF(A68&lt;=参数说明!$A$19,FORECAST(A68,参数说明!$B$18:$B$19,参数说明!$A$18:$A$19),FORECAST(A68,参数说明!$B$19:$B$20,参数说明!$A$19:$A$20)))))))/5,0)*5</f>
        <v>10995</v>
      </c>
      <c r="C68" s="4">
        <f t="shared" ref="C68:C102" si="1">B69-B68</f>
        <v>475</v>
      </c>
    </row>
    <row r="69" spans="1:3">
      <c r="A69" s="4">
        <v>66</v>
      </c>
      <c r="B69" s="4">
        <f>ROUND(IF(A69&lt;=参数说明!$A$14,FORECAST(A69,参数说明!$B$13:$B$14,参数说明!$A$13:$A$14),IF(A69&lt;=参数说明!$A$15,FORECAST(A69,参数说明!$B$14:$B$15,参数说明!$A$14:$A$15),IF(A69&lt;=参数说明!$A$16,FORECAST(A69,参数说明!$B$15:$B$16,参数说明!$A$15:$A$16),IF(A69&lt;=参数说明!$A$17,FORECAST(A69,参数说明!$B$16:$B$17,参数说明!$A$16:$A$17),IF(A69&lt;=参数说明!$A$18,FORECAST(A69,参数说明!$B$17:$B$18,参数说明!$A$17:$A$18),IF(A69&lt;=参数说明!$A$19,FORECAST(A69,参数说明!$B$18:$B$19,参数说明!$A$18:$A$19),FORECAST(A69,参数说明!$B$19:$B$20,参数说明!$A$19:$A$20)))))))/5,0)*5</f>
        <v>11470</v>
      </c>
      <c r="C69" s="4">
        <f t="shared" si="1"/>
        <v>475</v>
      </c>
    </row>
    <row r="70" spans="1:3">
      <c r="A70" s="4">
        <v>67</v>
      </c>
      <c r="B70" s="4">
        <f>ROUND(IF(A70&lt;=参数说明!$A$14,FORECAST(A70,参数说明!$B$13:$B$14,参数说明!$A$13:$A$14),IF(A70&lt;=参数说明!$A$15,FORECAST(A70,参数说明!$B$14:$B$15,参数说明!$A$14:$A$15),IF(A70&lt;=参数说明!$A$16,FORECAST(A70,参数说明!$B$15:$B$16,参数说明!$A$15:$A$16),IF(A70&lt;=参数说明!$A$17,FORECAST(A70,参数说明!$B$16:$B$17,参数说明!$A$16:$A$17),IF(A70&lt;=参数说明!$A$18,FORECAST(A70,参数说明!$B$17:$B$18,参数说明!$A$17:$A$18),IF(A70&lt;=参数说明!$A$19,FORECAST(A70,参数说明!$B$18:$B$19,参数说明!$A$18:$A$19),FORECAST(A70,参数说明!$B$19:$B$20,参数说明!$A$19:$A$20)))))))/5,0)*5</f>
        <v>11945</v>
      </c>
      <c r="C70" s="4">
        <f t="shared" si="1"/>
        <v>475</v>
      </c>
    </row>
    <row r="71" spans="1:3">
      <c r="A71" s="4">
        <v>68</v>
      </c>
      <c r="B71" s="4">
        <f>ROUND(IF(A71&lt;=参数说明!$A$14,FORECAST(A71,参数说明!$B$13:$B$14,参数说明!$A$13:$A$14),IF(A71&lt;=参数说明!$A$15,FORECAST(A71,参数说明!$B$14:$B$15,参数说明!$A$14:$A$15),IF(A71&lt;=参数说明!$A$16,FORECAST(A71,参数说明!$B$15:$B$16,参数说明!$A$15:$A$16),IF(A71&lt;=参数说明!$A$17,FORECAST(A71,参数说明!$B$16:$B$17,参数说明!$A$16:$A$17),IF(A71&lt;=参数说明!$A$18,FORECAST(A71,参数说明!$B$17:$B$18,参数说明!$A$17:$A$18),IF(A71&lt;=参数说明!$A$19,FORECAST(A71,参数说明!$B$18:$B$19,参数说明!$A$18:$A$19),FORECAST(A71,参数说明!$B$19:$B$20,参数说明!$A$19:$A$20)))))))/5,0)*5</f>
        <v>12420</v>
      </c>
      <c r="C71" s="4">
        <f t="shared" si="1"/>
        <v>475</v>
      </c>
    </row>
    <row r="72" spans="1:3">
      <c r="A72" s="4">
        <v>69</v>
      </c>
      <c r="B72" s="4">
        <f>ROUND(IF(A72&lt;=参数说明!$A$14,FORECAST(A72,参数说明!$B$13:$B$14,参数说明!$A$13:$A$14),IF(A72&lt;=参数说明!$A$15,FORECAST(A72,参数说明!$B$14:$B$15,参数说明!$A$14:$A$15),IF(A72&lt;=参数说明!$A$16,FORECAST(A72,参数说明!$B$15:$B$16,参数说明!$A$15:$A$16),IF(A72&lt;=参数说明!$A$17,FORECAST(A72,参数说明!$B$16:$B$17,参数说明!$A$16:$A$17),IF(A72&lt;=参数说明!$A$18,FORECAST(A72,参数说明!$B$17:$B$18,参数说明!$A$17:$A$18),IF(A72&lt;=参数说明!$A$19,FORECAST(A72,参数说明!$B$18:$B$19,参数说明!$A$18:$A$19),FORECAST(A72,参数说明!$B$19:$B$20,参数说明!$A$19:$A$20)))))))/5,0)*5</f>
        <v>12895</v>
      </c>
      <c r="C72" s="4">
        <f t="shared" si="1"/>
        <v>470</v>
      </c>
    </row>
    <row r="73" spans="1:3">
      <c r="A73" s="4">
        <v>70</v>
      </c>
      <c r="B73" s="4">
        <f>ROUND(IF(A73&lt;=参数说明!$A$14,FORECAST(A73,参数说明!$B$13:$B$14,参数说明!$A$13:$A$14),IF(A73&lt;=参数说明!$A$15,FORECAST(A73,参数说明!$B$14:$B$15,参数说明!$A$14:$A$15),IF(A73&lt;=参数说明!$A$16,FORECAST(A73,参数说明!$B$15:$B$16,参数说明!$A$15:$A$16),IF(A73&lt;=参数说明!$A$17,FORECAST(A73,参数说明!$B$16:$B$17,参数说明!$A$16:$A$17),IF(A73&lt;=参数说明!$A$18,FORECAST(A73,参数说明!$B$17:$B$18,参数说明!$A$17:$A$18),IF(A73&lt;=参数说明!$A$19,FORECAST(A73,参数说明!$B$18:$B$19,参数说明!$A$18:$A$19),FORECAST(A73,参数说明!$B$19:$B$20,参数说明!$A$19:$A$20)))))))/5,0)*5</f>
        <v>13365</v>
      </c>
      <c r="C73" s="4">
        <f t="shared" si="1"/>
        <v>475</v>
      </c>
    </row>
    <row r="74" spans="1:3">
      <c r="A74" s="4">
        <v>71</v>
      </c>
      <c r="B74" s="4">
        <f>ROUND(IF(A74&lt;=参数说明!$A$14,FORECAST(A74,参数说明!$B$13:$B$14,参数说明!$A$13:$A$14),IF(A74&lt;=参数说明!$A$15,FORECAST(A74,参数说明!$B$14:$B$15,参数说明!$A$14:$A$15),IF(A74&lt;=参数说明!$A$16,FORECAST(A74,参数说明!$B$15:$B$16,参数说明!$A$15:$A$16),IF(A74&lt;=参数说明!$A$17,FORECAST(A74,参数说明!$B$16:$B$17,参数说明!$A$16:$A$17),IF(A74&lt;=参数说明!$A$18,FORECAST(A74,参数说明!$B$17:$B$18,参数说明!$A$17:$A$18),IF(A74&lt;=参数说明!$A$19,FORECAST(A74,参数说明!$B$18:$B$19,参数说明!$A$18:$A$19),FORECAST(A74,参数说明!$B$19:$B$20,参数说明!$A$19:$A$20)))))))/5,0)*5</f>
        <v>13840</v>
      </c>
      <c r="C74" s="4">
        <f t="shared" si="1"/>
        <v>475</v>
      </c>
    </row>
    <row r="75" spans="1:3">
      <c r="A75" s="4">
        <v>72</v>
      </c>
      <c r="B75" s="4">
        <f>ROUND(IF(A75&lt;=参数说明!$A$14,FORECAST(A75,参数说明!$B$13:$B$14,参数说明!$A$13:$A$14),IF(A75&lt;=参数说明!$A$15,FORECAST(A75,参数说明!$B$14:$B$15,参数说明!$A$14:$A$15),IF(A75&lt;=参数说明!$A$16,FORECAST(A75,参数说明!$B$15:$B$16,参数说明!$A$15:$A$16),IF(A75&lt;=参数说明!$A$17,FORECAST(A75,参数说明!$B$16:$B$17,参数说明!$A$16:$A$17),IF(A75&lt;=参数说明!$A$18,FORECAST(A75,参数说明!$B$17:$B$18,参数说明!$A$17:$A$18),IF(A75&lt;=参数说明!$A$19,FORECAST(A75,参数说明!$B$18:$B$19,参数说明!$A$18:$A$19),FORECAST(A75,参数说明!$B$19:$B$20,参数说明!$A$19:$A$20)))))))/5,0)*5</f>
        <v>14315</v>
      </c>
      <c r="C75" s="4">
        <f t="shared" si="1"/>
        <v>475</v>
      </c>
    </row>
    <row r="76" spans="1:3">
      <c r="A76" s="4">
        <v>73</v>
      </c>
      <c r="B76" s="4">
        <f>ROUND(IF(A76&lt;=参数说明!$A$14,FORECAST(A76,参数说明!$B$13:$B$14,参数说明!$A$13:$A$14),IF(A76&lt;=参数说明!$A$15,FORECAST(A76,参数说明!$B$14:$B$15,参数说明!$A$14:$A$15),IF(A76&lt;=参数说明!$A$16,FORECAST(A76,参数说明!$B$15:$B$16,参数说明!$A$15:$A$16),IF(A76&lt;=参数说明!$A$17,FORECAST(A76,参数说明!$B$16:$B$17,参数说明!$A$16:$A$17),IF(A76&lt;=参数说明!$A$18,FORECAST(A76,参数说明!$B$17:$B$18,参数说明!$A$17:$A$18),IF(A76&lt;=参数说明!$A$19,FORECAST(A76,参数说明!$B$18:$B$19,参数说明!$A$18:$A$19),FORECAST(A76,参数说明!$B$19:$B$20,参数说明!$A$19:$A$20)))))))/5,0)*5</f>
        <v>14790</v>
      </c>
      <c r="C76" s="4">
        <f t="shared" si="1"/>
        <v>475</v>
      </c>
    </row>
    <row r="77" spans="1:3">
      <c r="A77" s="4">
        <v>74</v>
      </c>
      <c r="B77" s="4">
        <f>ROUND(IF(A77&lt;=参数说明!$A$14,FORECAST(A77,参数说明!$B$13:$B$14,参数说明!$A$13:$A$14),IF(A77&lt;=参数说明!$A$15,FORECAST(A77,参数说明!$B$14:$B$15,参数说明!$A$14:$A$15),IF(A77&lt;=参数说明!$A$16,FORECAST(A77,参数说明!$B$15:$B$16,参数说明!$A$15:$A$16),IF(A77&lt;=参数说明!$A$17,FORECAST(A77,参数说明!$B$16:$B$17,参数说明!$A$16:$A$17),IF(A77&lt;=参数说明!$A$18,FORECAST(A77,参数说明!$B$17:$B$18,参数说明!$A$17:$A$18),IF(A77&lt;=参数说明!$A$19,FORECAST(A77,参数说明!$B$18:$B$19,参数说明!$A$18:$A$19),FORECAST(A77,参数说明!$B$19:$B$20,参数说明!$A$19:$A$20)))))))/5,0)*5</f>
        <v>15265</v>
      </c>
      <c r="C77" s="4">
        <f t="shared" si="1"/>
        <v>475</v>
      </c>
    </row>
    <row r="78" spans="1:3">
      <c r="A78" s="4">
        <v>75</v>
      </c>
      <c r="B78" s="4">
        <f>ROUND(IF(A78&lt;=参数说明!$A$14,FORECAST(A78,参数说明!$B$13:$B$14,参数说明!$A$13:$A$14),IF(A78&lt;=参数说明!$A$15,FORECAST(A78,参数说明!$B$14:$B$15,参数说明!$A$14:$A$15),IF(A78&lt;=参数说明!$A$16,FORECAST(A78,参数说明!$B$15:$B$16,参数说明!$A$15:$A$16),IF(A78&lt;=参数说明!$A$17,FORECAST(A78,参数说明!$B$16:$B$17,参数说明!$A$16:$A$17),IF(A78&lt;=参数说明!$A$18,FORECAST(A78,参数说明!$B$17:$B$18,参数说明!$A$17:$A$18),IF(A78&lt;=参数说明!$A$19,FORECAST(A78,参数说明!$B$18:$B$19,参数说明!$A$18:$A$19),FORECAST(A78,参数说明!$B$19:$B$20,参数说明!$A$19:$A$20)))))))/5,0)*5</f>
        <v>15740</v>
      </c>
      <c r="C78" s="4">
        <f t="shared" si="1"/>
        <v>475</v>
      </c>
    </row>
    <row r="79" spans="1:3">
      <c r="A79" s="4">
        <v>76</v>
      </c>
      <c r="B79" s="4">
        <f>ROUND(IF(A79&lt;=参数说明!$A$14,FORECAST(A79,参数说明!$B$13:$B$14,参数说明!$A$13:$A$14),IF(A79&lt;=参数说明!$A$15,FORECAST(A79,参数说明!$B$14:$B$15,参数说明!$A$14:$A$15),IF(A79&lt;=参数说明!$A$16,FORECAST(A79,参数说明!$B$15:$B$16,参数说明!$A$15:$A$16),IF(A79&lt;=参数说明!$A$17,FORECAST(A79,参数说明!$B$16:$B$17,参数说明!$A$16:$A$17),IF(A79&lt;=参数说明!$A$18,FORECAST(A79,参数说明!$B$17:$B$18,参数说明!$A$17:$A$18),IF(A79&lt;=参数说明!$A$19,FORECAST(A79,参数说明!$B$18:$B$19,参数说明!$A$18:$A$19),FORECAST(A79,参数说明!$B$19:$B$20,参数说明!$A$19:$A$20)))))))/5,0)*5</f>
        <v>16215</v>
      </c>
      <c r="C79" s="4">
        <f t="shared" si="1"/>
        <v>475</v>
      </c>
    </row>
    <row r="80" spans="1:3">
      <c r="A80" s="4">
        <v>77</v>
      </c>
      <c r="B80" s="4">
        <f>ROUND(IF(A80&lt;=参数说明!$A$14,FORECAST(A80,参数说明!$B$13:$B$14,参数说明!$A$13:$A$14),IF(A80&lt;=参数说明!$A$15,FORECAST(A80,参数说明!$B$14:$B$15,参数说明!$A$14:$A$15),IF(A80&lt;=参数说明!$A$16,FORECAST(A80,参数说明!$B$15:$B$16,参数说明!$A$15:$A$16),IF(A80&lt;=参数说明!$A$17,FORECAST(A80,参数说明!$B$16:$B$17,参数说明!$A$16:$A$17),IF(A80&lt;=参数说明!$A$18,FORECAST(A80,参数说明!$B$17:$B$18,参数说明!$A$17:$A$18),IF(A80&lt;=参数说明!$A$19,FORECAST(A80,参数说明!$B$18:$B$19,参数说明!$A$18:$A$19),FORECAST(A80,参数说明!$B$19:$B$20,参数说明!$A$19:$A$20)))))))/5,0)*5</f>
        <v>16690</v>
      </c>
      <c r="C80" s="4">
        <f t="shared" si="1"/>
        <v>475</v>
      </c>
    </row>
    <row r="81" spans="1:3">
      <c r="A81" s="4">
        <v>78</v>
      </c>
      <c r="B81" s="4">
        <f>ROUND(IF(A81&lt;=参数说明!$A$14,FORECAST(A81,参数说明!$B$13:$B$14,参数说明!$A$13:$A$14),IF(A81&lt;=参数说明!$A$15,FORECAST(A81,参数说明!$B$14:$B$15,参数说明!$A$14:$A$15),IF(A81&lt;=参数说明!$A$16,FORECAST(A81,参数说明!$B$15:$B$16,参数说明!$A$15:$A$16),IF(A81&lt;=参数说明!$A$17,FORECAST(A81,参数说明!$B$16:$B$17,参数说明!$A$16:$A$17),IF(A81&lt;=参数说明!$A$18,FORECAST(A81,参数说明!$B$17:$B$18,参数说明!$A$17:$A$18),IF(A81&lt;=参数说明!$A$19,FORECAST(A81,参数说明!$B$18:$B$19,参数说明!$A$18:$A$19),FORECAST(A81,参数说明!$B$19:$B$20,参数说明!$A$19:$A$20)))))))/5,0)*5</f>
        <v>17165</v>
      </c>
      <c r="C81" s="4">
        <f t="shared" si="1"/>
        <v>470</v>
      </c>
    </row>
    <row r="82" spans="1:3">
      <c r="A82" s="4">
        <v>79</v>
      </c>
      <c r="B82" s="4">
        <f>ROUND(IF(A82&lt;=参数说明!$A$14,FORECAST(A82,参数说明!$B$13:$B$14,参数说明!$A$13:$A$14),IF(A82&lt;=参数说明!$A$15,FORECAST(A82,参数说明!$B$14:$B$15,参数说明!$A$14:$A$15),IF(A82&lt;=参数说明!$A$16,FORECAST(A82,参数说明!$B$15:$B$16,参数说明!$A$15:$A$16),IF(A82&lt;=参数说明!$A$17,FORECAST(A82,参数说明!$B$16:$B$17,参数说明!$A$16:$A$17),IF(A82&lt;=参数说明!$A$18,FORECAST(A82,参数说明!$B$17:$B$18,参数说明!$A$17:$A$18),IF(A82&lt;=参数说明!$A$19,FORECAST(A82,参数说明!$B$18:$B$19,参数说明!$A$18:$A$19),FORECAST(A82,参数说明!$B$19:$B$20,参数说明!$A$19:$A$20)))))))/5,0)*5</f>
        <v>17635</v>
      </c>
      <c r="C82" s="4">
        <f t="shared" si="1"/>
        <v>475</v>
      </c>
    </row>
    <row r="83" spans="1:3">
      <c r="A83" s="4">
        <v>80</v>
      </c>
      <c r="B83" s="4">
        <f>ROUND(IF(A83&lt;=参数说明!$A$14,FORECAST(A83,参数说明!$B$13:$B$14,参数说明!$A$13:$A$14),IF(A83&lt;=参数说明!$A$15,FORECAST(A83,参数说明!$B$14:$B$15,参数说明!$A$14:$A$15),IF(A83&lt;=参数说明!$A$16,FORECAST(A83,参数说明!$B$15:$B$16,参数说明!$A$15:$A$16),IF(A83&lt;=参数说明!$A$17,FORECAST(A83,参数说明!$B$16:$B$17,参数说明!$A$16:$A$17),IF(A83&lt;=参数说明!$A$18,FORECAST(A83,参数说明!$B$17:$B$18,参数说明!$A$17:$A$18),IF(A83&lt;=参数说明!$A$19,FORECAST(A83,参数说明!$B$18:$B$19,参数说明!$A$18:$A$19),FORECAST(A83,参数说明!$B$19:$B$20,参数说明!$A$19:$A$20)))))))/5,0)*5</f>
        <v>18110</v>
      </c>
      <c r="C83" s="4">
        <f t="shared" si="1"/>
        <v>475</v>
      </c>
    </row>
    <row r="84" spans="1:3">
      <c r="A84" s="4">
        <v>81</v>
      </c>
      <c r="B84" s="4">
        <f>ROUND(IF(A84&lt;=参数说明!$A$14,FORECAST(A84,参数说明!$B$13:$B$14,参数说明!$A$13:$A$14),IF(A84&lt;=参数说明!$A$15,FORECAST(A84,参数说明!$B$14:$B$15,参数说明!$A$14:$A$15),IF(A84&lt;=参数说明!$A$16,FORECAST(A84,参数说明!$B$15:$B$16,参数说明!$A$15:$A$16),IF(A84&lt;=参数说明!$A$17,FORECAST(A84,参数说明!$B$16:$B$17,参数说明!$A$16:$A$17),IF(A84&lt;=参数说明!$A$18,FORECAST(A84,参数说明!$B$17:$B$18,参数说明!$A$17:$A$18),IF(A84&lt;=参数说明!$A$19,FORECAST(A84,参数说明!$B$18:$B$19,参数说明!$A$18:$A$19),FORECAST(A84,参数说明!$B$19:$B$20,参数说明!$A$19:$A$20)))))))/5,0)*5</f>
        <v>18585</v>
      </c>
      <c r="C84" s="4">
        <f t="shared" si="1"/>
        <v>475</v>
      </c>
    </row>
    <row r="85" spans="1:3">
      <c r="A85" s="4">
        <v>82</v>
      </c>
      <c r="B85" s="4">
        <f>ROUND(IF(A85&lt;=参数说明!$A$14,FORECAST(A85,参数说明!$B$13:$B$14,参数说明!$A$13:$A$14),IF(A85&lt;=参数说明!$A$15,FORECAST(A85,参数说明!$B$14:$B$15,参数说明!$A$14:$A$15),IF(A85&lt;=参数说明!$A$16,FORECAST(A85,参数说明!$B$15:$B$16,参数说明!$A$15:$A$16),IF(A85&lt;=参数说明!$A$17,FORECAST(A85,参数说明!$B$16:$B$17,参数说明!$A$16:$A$17),IF(A85&lt;=参数说明!$A$18,FORECAST(A85,参数说明!$B$17:$B$18,参数说明!$A$17:$A$18),IF(A85&lt;=参数说明!$A$19,FORECAST(A85,参数说明!$B$18:$B$19,参数说明!$A$18:$A$19),FORECAST(A85,参数说明!$B$19:$B$20,参数说明!$A$19:$A$20)))))))/5,0)*5</f>
        <v>19060</v>
      </c>
      <c r="C85" s="4">
        <f t="shared" si="1"/>
        <v>475</v>
      </c>
    </row>
    <row r="86" spans="1:3">
      <c r="A86" s="4">
        <v>83</v>
      </c>
      <c r="B86" s="4">
        <f>ROUND(IF(A86&lt;=参数说明!$A$14,FORECAST(A86,参数说明!$B$13:$B$14,参数说明!$A$13:$A$14),IF(A86&lt;=参数说明!$A$15,FORECAST(A86,参数说明!$B$14:$B$15,参数说明!$A$14:$A$15),IF(A86&lt;=参数说明!$A$16,FORECAST(A86,参数说明!$B$15:$B$16,参数说明!$A$15:$A$16),IF(A86&lt;=参数说明!$A$17,FORECAST(A86,参数说明!$B$16:$B$17,参数说明!$A$16:$A$17),IF(A86&lt;=参数说明!$A$18,FORECAST(A86,参数说明!$B$17:$B$18,参数说明!$A$17:$A$18),IF(A86&lt;=参数说明!$A$19,FORECAST(A86,参数说明!$B$18:$B$19,参数说明!$A$18:$A$19),FORECAST(A86,参数说明!$B$19:$B$20,参数说明!$A$19:$A$20)))))))/5,0)*5</f>
        <v>19535</v>
      </c>
      <c r="C86" s="4">
        <f t="shared" si="1"/>
        <v>475</v>
      </c>
    </row>
    <row r="87" spans="1:3">
      <c r="A87" s="4">
        <v>84</v>
      </c>
      <c r="B87" s="4">
        <f>ROUND(IF(A87&lt;=参数说明!$A$14,FORECAST(A87,参数说明!$B$13:$B$14,参数说明!$A$13:$A$14),IF(A87&lt;=参数说明!$A$15,FORECAST(A87,参数说明!$B$14:$B$15,参数说明!$A$14:$A$15),IF(A87&lt;=参数说明!$A$16,FORECAST(A87,参数说明!$B$15:$B$16,参数说明!$A$15:$A$16),IF(A87&lt;=参数说明!$A$17,FORECAST(A87,参数说明!$B$16:$B$17,参数说明!$A$16:$A$17),IF(A87&lt;=参数说明!$A$18,FORECAST(A87,参数说明!$B$17:$B$18,参数说明!$A$17:$A$18),IF(A87&lt;=参数说明!$A$19,FORECAST(A87,参数说明!$B$18:$B$19,参数说明!$A$18:$A$19),FORECAST(A87,参数说明!$B$19:$B$20,参数说明!$A$19:$A$20)))))))/5,0)*5</f>
        <v>20010</v>
      </c>
      <c r="C87" s="4">
        <f t="shared" si="1"/>
        <v>475</v>
      </c>
    </row>
    <row r="88" spans="1:3">
      <c r="A88" s="4">
        <v>85</v>
      </c>
      <c r="B88" s="4">
        <f>ROUND(IF(A88&lt;=参数说明!$A$14,FORECAST(A88,参数说明!$B$13:$B$14,参数说明!$A$13:$A$14),IF(A88&lt;=参数说明!$A$15,FORECAST(A88,参数说明!$B$14:$B$15,参数说明!$A$14:$A$15),IF(A88&lt;=参数说明!$A$16,FORECAST(A88,参数说明!$B$15:$B$16,参数说明!$A$15:$A$16),IF(A88&lt;=参数说明!$A$17,FORECAST(A88,参数说明!$B$16:$B$17,参数说明!$A$16:$A$17),IF(A88&lt;=参数说明!$A$18,FORECAST(A88,参数说明!$B$17:$B$18,参数说明!$A$17:$A$18),IF(A88&lt;=参数说明!$A$19,FORECAST(A88,参数说明!$B$18:$B$19,参数说明!$A$18:$A$19),FORECAST(A88,参数说明!$B$19:$B$20,参数说明!$A$19:$A$20)))))))/5,0)*5</f>
        <v>20485</v>
      </c>
      <c r="C88" s="4">
        <f t="shared" si="1"/>
        <v>475</v>
      </c>
    </row>
    <row r="89" spans="1:3">
      <c r="A89" s="4">
        <v>86</v>
      </c>
      <c r="B89" s="4">
        <f>ROUND(IF(A89&lt;=参数说明!$A$14,FORECAST(A89,参数说明!$B$13:$B$14,参数说明!$A$13:$A$14),IF(A89&lt;=参数说明!$A$15,FORECAST(A89,参数说明!$B$14:$B$15,参数说明!$A$14:$A$15),IF(A89&lt;=参数说明!$A$16,FORECAST(A89,参数说明!$B$15:$B$16,参数说明!$A$15:$A$16),IF(A89&lt;=参数说明!$A$17,FORECAST(A89,参数说明!$B$16:$B$17,参数说明!$A$16:$A$17),IF(A89&lt;=参数说明!$A$18,FORECAST(A89,参数说明!$B$17:$B$18,参数说明!$A$17:$A$18),IF(A89&lt;=参数说明!$A$19,FORECAST(A89,参数说明!$B$18:$B$19,参数说明!$A$18:$A$19),FORECAST(A89,参数说明!$B$19:$B$20,参数说明!$A$19:$A$20)))))))/5,0)*5</f>
        <v>20960</v>
      </c>
      <c r="C89" s="4">
        <f t="shared" si="1"/>
        <v>470</v>
      </c>
    </row>
    <row r="90" spans="1:3">
      <c r="A90" s="4">
        <v>87</v>
      </c>
      <c r="B90" s="4">
        <f>ROUND(IF(A90&lt;=参数说明!$A$14,FORECAST(A90,参数说明!$B$13:$B$14,参数说明!$A$13:$A$14),IF(A90&lt;=参数说明!$A$15,FORECAST(A90,参数说明!$B$14:$B$15,参数说明!$A$14:$A$15),IF(A90&lt;=参数说明!$A$16,FORECAST(A90,参数说明!$B$15:$B$16,参数说明!$A$15:$A$16),IF(A90&lt;=参数说明!$A$17,FORECAST(A90,参数说明!$B$16:$B$17,参数说明!$A$16:$A$17),IF(A90&lt;=参数说明!$A$18,FORECAST(A90,参数说明!$B$17:$B$18,参数说明!$A$17:$A$18),IF(A90&lt;=参数说明!$A$19,FORECAST(A90,参数说明!$B$18:$B$19,参数说明!$A$18:$A$19),FORECAST(A90,参数说明!$B$19:$B$20,参数说明!$A$19:$A$20)))))))/5,0)*5</f>
        <v>21430</v>
      </c>
      <c r="C90" s="4">
        <f t="shared" si="1"/>
        <v>475</v>
      </c>
    </row>
    <row r="91" spans="1:3">
      <c r="A91" s="4">
        <v>88</v>
      </c>
      <c r="B91" s="4">
        <f>ROUND(IF(A91&lt;=参数说明!$A$14,FORECAST(A91,参数说明!$B$13:$B$14,参数说明!$A$13:$A$14),IF(A91&lt;=参数说明!$A$15,FORECAST(A91,参数说明!$B$14:$B$15,参数说明!$A$14:$A$15),IF(A91&lt;=参数说明!$A$16,FORECAST(A91,参数说明!$B$15:$B$16,参数说明!$A$15:$A$16),IF(A91&lt;=参数说明!$A$17,FORECAST(A91,参数说明!$B$16:$B$17,参数说明!$A$16:$A$17),IF(A91&lt;=参数说明!$A$18,FORECAST(A91,参数说明!$B$17:$B$18,参数说明!$A$17:$A$18),IF(A91&lt;=参数说明!$A$19,FORECAST(A91,参数说明!$B$18:$B$19,参数说明!$A$18:$A$19),FORECAST(A91,参数说明!$B$19:$B$20,参数说明!$A$19:$A$20)))))))/5,0)*5</f>
        <v>21905</v>
      </c>
      <c r="C91" s="4">
        <f t="shared" si="1"/>
        <v>475</v>
      </c>
    </row>
    <row r="92" spans="1:3">
      <c r="A92" s="4">
        <v>89</v>
      </c>
      <c r="B92" s="4">
        <f>ROUND(IF(A92&lt;=参数说明!$A$14,FORECAST(A92,参数说明!$B$13:$B$14,参数说明!$A$13:$A$14),IF(A92&lt;=参数说明!$A$15,FORECAST(A92,参数说明!$B$14:$B$15,参数说明!$A$14:$A$15),IF(A92&lt;=参数说明!$A$16,FORECAST(A92,参数说明!$B$15:$B$16,参数说明!$A$15:$A$16),IF(A92&lt;=参数说明!$A$17,FORECAST(A92,参数说明!$B$16:$B$17,参数说明!$A$16:$A$17),IF(A92&lt;=参数说明!$A$18,FORECAST(A92,参数说明!$B$17:$B$18,参数说明!$A$17:$A$18),IF(A92&lt;=参数说明!$A$19,FORECAST(A92,参数说明!$B$18:$B$19,参数说明!$A$18:$A$19),FORECAST(A92,参数说明!$B$19:$B$20,参数说明!$A$19:$A$20)))))))/5,0)*5</f>
        <v>22380</v>
      </c>
      <c r="C92" s="4">
        <f t="shared" si="1"/>
        <v>475</v>
      </c>
    </row>
    <row r="93" spans="1:3">
      <c r="A93" s="4">
        <v>90</v>
      </c>
      <c r="B93" s="4">
        <f>ROUND(IF(A93&lt;=参数说明!$A$14,FORECAST(A93,参数说明!$B$13:$B$14,参数说明!$A$13:$A$14),IF(A93&lt;=参数说明!$A$15,FORECAST(A93,参数说明!$B$14:$B$15,参数说明!$A$14:$A$15),IF(A93&lt;=参数说明!$A$16,FORECAST(A93,参数说明!$B$15:$B$16,参数说明!$A$15:$A$16),IF(A93&lt;=参数说明!$A$17,FORECAST(A93,参数说明!$B$16:$B$17,参数说明!$A$16:$A$17),IF(A93&lt;=参数说明!$A$18,FORECAST(A93,参数说明!$B$17:$B$18,参数说明!$A$17:$A$18),IF(A93&lt;=参数说明!$A$19,FORECAST(A93,参数说明!$B$18:$B$19,参数说明!$A$18:$A$19),FORECAST(A93,参数说明!$B$19:$B$20,参数说明!$A$19:$A$20)))))))/5,0)*5</f>
        <v>22855</v>
      </c>
      <c r="C93" s="4">
        <f t="shared" si="1"/>
        <v>475</v>
      </c>
    </row>
    <row r="94" spans="1:3">
      <c r="A94" s="4">
        <v>91</v>
      </c>
      <c r="B94" s="4">
        <f>ROUND(IF(A94&lt;=参数说明!$A$14,FORECAST(A94,参数说明!$B$13:$B$14,参数说明!$A$13:$A$14),IF(A94&lt;=参数说明!$A$15,FORECAST(A94,参数说明!$B$14:$B$15,参数说明!$A$14:$A$15),IF(A94&lt;=参数说明!$A$16,FORECAST(A94,参数说明!$B$15:$B$16,参数说明!$A$15:$A$16),IF(A94&lt;=参数说明!$A$17,FORECAST(A94,参数说明!$B$16:$B$17,参数说明!$A$16:$A$17),IF(A94&lt;=参数说明!$A$18,FORECAST(A94,参数说明!$B$17:$B$18,参数说明!$A$17:$A$18),IF(A94&lt;=参数说明!$A$19,FORECAST(A94,参数说明!$B$18:$B$19,参数说明!$A$18:$A$19),FORECAST(A94,参数说明!$B$19:$B$20,参数说明!$A$19:$A$20)))))))/5,0)*5</f>
        <v>23330</v>
      </c>
      <c r="C94" s="4">
        <f t="shared" si="1"/>
        <v>475</v>
      </c>
    </row>
    <row r="95" spans="1:3">
      <c r="A95" s="4">
        <v>92</v>
      </c>
      <c r="B95" s="4">
        <f>ROUND(IF(A95&lt;=参数说明!$A$14,FORECAST(A95,参数说明!$B$13:$B$14,参数说明!$A$13:$A$14),IF(A95&lt;=参数说明!$A$15,FORECAST(A95,参数说明!$B$14:$B$15,参数说明!$A$14:$A$15),IF(A95&lt;=参数说明!$A$16,FORECAST(A95,参数说明!$B$15:$B$16,参数说明!$A$15:$A$16),IF(A95&lt;=参数说明!$A$17,FORECAST(A95,参数说明!$B$16:$B$17,参数说明!$A$16:$A$17),IF(A95&lt;=参数说明!$A$18,FORECAST(A95,参数说明!$B$17:$B$18,参数说明!$A$17:$A$18),IF(A95&lt;=参数说明!$A$19,FORECAST(A95,参数说明!$B$18:$B$19,参数说明!$A$18:$A$19),FORECAST(A95,参数说明!$B$19:$B$20,参数说明!$A$19:$A$20)))))))/5,0)*5</f>
        <v>23805</v>
      </c>
      <c r="C95" s="4">
        <f t="shared" si="1"/>
        <v>475</v>
      </c>
    </row>
    <row r="96" spans="1:3">
      <c r="A96" s="4">
        <v>93</v>
      </c>
      <c r="B96" s="4">
        <f>ROUND(IF(A96&lt;=参数说明!$A$14,FORECAST(A96,参数说明!$B$13:$B$14,参数说明!$A$13:$A$14),IF(A96&lt;=参数说明!$A$15,FORECAST(A96,参数说明!$B$14:$B$15,参数说明!$A$14:$A$15),IF(A96&lt;=参数说明!$A$16,FORECAST(A96,参数说明!$B$15:$B$16,参数说明!$A$15:$A$16),IF(A96&lt;=参数说明!$A$17,FORECAST(A96,参数说明!$B$16:$B$17,参数说明!$A$16:$A$17),IF(A96&lt;=参数说明!$A$18,FORECAST(A96,参数说明!$B$17:$B$18,参数说明!$A$17:$A$18),IF(A96&lt;=参数说明!$A$19,FORECAST(A96,参数说明!$B$18:$B$19,参数说明!$A$18:$A$19),FORECAST(A96,参数说明!$B$19:$B$20,参数说明!$A$19:$A$20)))))))/5,0)*5</f>
        <v>24280</v>
      </c>
      <c r="C96" s="4">
        <f t="shared" si="1"/>
        <v>475</v>
      </c>
    </row>
    <row r="97" spans="1:3">
      <c r="A97" s="4">
        <v>94</v>
      </c>
      <c r="B97" s="4">
        <f>ROUND(IF(A97&lt;=参数说明!$A$14,FORECAST(A97,参数说明!$B$13:$B$14,参数说明!$A$13:$A$14),IF(A97&lt;=参数说明!$A$15,FORECAST(A97,参数说明!$B$14:$B$15,参数说明!$A$14:$A$15),IF(A97&lt;=参数说明!$A$16,FORECAST(A97,参数说明!$B$15:$B$16,参数说明!$A$15:$A$16),IF(A97&lt;=参数说明!$A$17,FORECAST(A97,参数说明!$B$16:$B$17,参数说明!$A$16:$A$17),IF(A97&lt;=参数说明!$A$18,FORECAST(A97,参数说明!$B$17:$B$18,参数说明!$A$17:$A$18),IF(A97&lt;=参数说明!$A$19,FORECAST(A97,参数说明!$B$18:$B$19,参数说明!$A$18:$A$19),FORECAST(A97,参数说明!$B$19:$B$20,参数说明!$A$19:$A$20)))))))/5,0)*5</f>
        <v>24755</v>
      </c>
      <c r="C97" s="4">
        <f t="shared" si="1"/>
        <v>475</v>
      </c>
    </row>
    <row r="98" spans="1:3">
      <c r="A98" s="4">
        <v>95</v>
      </c>
      <c r="B98" s="4">
        <f>ROUND(IF(A98&lt;=参数说明!$A$14,FORECAST(A98,参数说明!$B$13:$B$14,参数说明!$A$13:$A$14),IF(A98&lt;=参数说明!$A$15,FORECAST(A98,参数说明!$B$14:$B$15,参数说明!$A$14:$A$15),IF(A98&lt;=参数说明!$A$16,FORECAST(A98,参数说明!$B$15:$B$16,参数说明!$A$15:$A$16),IF(A98&lt;=参数说明!$A$17,FORECAST(A98,参数说明!$B$16:$B$17,参数说明!$A$16:$A$17),IF(A98&lt;=参数说明!$A$18,FORECAST(A98,参数说明!$B$17:$B$18,参数说明!$A$17:$A$18),IF(A98&lt;=参数说明!$A$19,FORECAST(A98,参数说明!$B$18:$B$19,参数说明!$A$18:$A$19),FORECAST(A98,参数说明!$B$19:$B$20,参数说明!$A$19:$A$20)))))))/5,0)*5</f>
        <v>25230</v>
      </c>
      <c r="C98" s="4">
        <f t="shared" si="1"/>
        <v>470</v>
      </c>
    </row>
    <row r="99" spans="1:3">
      <c r="A99" s="4">
        <v>96</v>
      </c>
      <c r="B99" s="4">
        <f>ROUND(IF(A99&lt;=参数说明!$A$14,FORECAST(A99,参数说明!$B$13:$B$14,参数说明!$A$13:$A$14),IF(A99&lt;=参数说明!$A$15,FORECAST(A99,参数说明!$B$14:$B$15,参数说明!$A$14:$A$15),IF(A99&lt;=参数说明!$A$16,FORECAST(A99,参数说明!$B$15:$B$16,参数说明!$A$15:$A$16),IF(A99&lt;=参数说明!$A$17,FORECAST(A99,参数说明!$B$16:$B$17,参数说明!$A$16:$A$17),IF(A99&lt;=参数说明!$A$18,FORECAST(A99,参数说明!$B$17:$B$18,参数说明!$A$17:$A$18),IF(A99&lt;=参数说明!$A$19,FORECAST(A99,参数说明!$B$18:$B$19,参数说明!$A$18:$A$19),FORECAST(A99,参数说明!$B$19:$B$20,参数说明!$A$19:$A$20)))))))/5,0)*5</f>
        <v>25700</v>
      </c>
      <c r="C99" s="4">
        <f t="shared" si="1"/>
        <v>475</v>
      </c>
    </row>
    <row r="100" spans="1:3">
      <c r="A100" s="4">
        <v>97</v>
      </c>
      <c r="B100" s="4">
        <f>ROUND(IF(A100&lt;=参数说明!$A$14,FORECAST(A100,参数说明!$B$13:$B$14,参数说明!$A$13:$A$14),IF(A100&lt;=参数说明!$A$15,FORECAST(A100,参数说明!$B$14:$B$15,参数说明!$A$14:$A$15),IF(A100&lt;=参数说明!$A$16,FORECAST(A100,参数说明!$B$15:$B$16,参数说明!$A$15:$A$16),IF(A100&lt;=参数说明!$A$17,FORECAST(A100,参数说明!$B$16:$B$17,参数说明!$A$16:$A$17),IF(A100&lt;=参数说明!$A$18,FORECAST(A100,参数说明!$B$17:$B$18,参数说明!$A$17:$A$18),IF(A100&lt;=参数说明!$A$19,FORECAST(A100,参数说明!$B$18:$B$19,参数说明!$A$18:$A$19),FORECAST(A100,参数说明!$B$19:$B$20,参数说明!$A$19:$A$20)))))))/5,0)*5</f>
        <v>26175</v>
      </c>
      <c r="C100" s="4">
        <f t="shared" si="1"/>
        <v>475</v>
      </c>
    </row>
    <row r="101" spans="1:3">
      <c r="A101" s="4">
        <v>98</v>
      </c>
      <c r="B101" s="4">
        <f>ROUND(IF(A101&lt;=参数说明!$A$14,FORECAST(A101,参数说明!$B$13:$B$14,参数说明!$A$13:$A$14),IF(A101&lt;=参数说明!$A$15,FORECAST(A101,参数说明!$B$14:$B$15,参数说明!$A$14:$A$15),IF(A101&lt;=参数说明!$A$16,FORECAST(A101,参数说明!$B$15:$B$16,参数说明!$A$15:$A$16),IF(A101&lt;=参数说明!$A$17,FORECAST(A101,参数说明!$B$16:$B$17,参数说明!$A$16:$A$17),IF(A101&lt;=参数说明!$A$18,FORECAST(A101,参数说明!$B$17:$B$18,参数说明!$A$17:$A$18),IF(A101&lt;=参数说明!$A$19,FORECAST(A101,参数说明!$B$18:$B$19,参数说明!$A$18:$A$19),FORECAST(A101,参数说明!$B$19:$B$20,参数说明!$A$19:$A$20)))))))/5,0)*5</f>
        <v>26650</v>
      </c>
      <c r="C101" s="4">
        <f t="shared" si="1"/>
        <v>475</v>
      </c>
    </row>
    <row r="102" spans="1:3">
      <c r="A102" s="4">
        <v>99</v>
      </c>
      <c r="B102" s="4">
        <f>ROUND(IF(A102&lt;=参数说明!$A$14,FORECAST(A102,参数说明!$B$13:$B$14,参数说明!$A$13:$A$14),IF(A102&lt;=参数说明!$A$15,FORECAST(A102,参数说明!$B$14:$B$15,参数说明!$A$14:$A$15),IF(A102&lt;=参数说明!$A$16,FORECAST(A102,参数说明!$B$15:$B$16,参数说明!$A$15:$A$16),IF(A102&lt;=参数说明!$A$17,FORECAST(A102,参数说明!$B$16:$B$17,参数说明!$A$16:$A$17),IF(A102&lt;=参数说明!$A$18,FORECAST(A102,参数说明!$B$17:$B$18,参数说明!$A$17:$A$18),IF(A102&lt;=参数说明!$A$19,FORECAST(A102,参数说明!$B$18:$B$19,参数说明!$A$18:$A$19),FORECAST(A102,参数说明!$B$19:$B$20,参数说明!$A$19:$A$20)))))))/5,0)*5</f>
        <v>27125</v>
      </c>
      <c r="C102" s="4">
        <f t="shared" si="1"/>
        <v>475</v>
      </c>
    </row>
    <row r="103" spans="1:3">
      <c r="A103" s="4">
        <v>100</v>
      </c>
      <c r="B103" s="4">
        <f>ROUND(IF(A103&lt;=参数说明!$A$14,FORECAST(A103,参数说明!$B$13:$B$14,参数说明!$A$13:$A$14),IF(A103&lt;=参数说明!$A$15,FORECAST(A103,参数说明!$B$14:$B$15,参数说明!$A$14:$A$15),IF(A103&lt;=参数说明!$A$16,FORECAST(A103,参数说明!$B$15:$B$16,参数说明!$A$15:$A$16),IF(A103&lt;=参数说明!$A$17,FORECAST(A103,参数说明!$B$16:$B$17,参数说明!$A$16:$A$17),IF(A103&lt;=参数说明!$A$18,FORECAST(A103,参数说明!$B$17:$B$18,参数说明!$A$17:$A$18),IF(A103&lt;=参数说明!$A$19,FORECAST(A103,参数说明!$B$18:$B$19,参数说明!$A$18:$A$19),FORECAST(A103,参数说明!$B$19:$B$20,参数说明!$A$19:$A$20)))))))/5,0)*5</f>
        <v>27600</v>
      </c>
      <c r="C103" s="3" t="str">
        <f>"Max"</f>
        <v>Max</v>
      </c>
    </row>
  </sheetData>
  <mergeCells count="1">
    <mergeCell ref="A1:C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9"/>
  <sheetViews>
    <sheetView showGridLines="0" tabSelected="1" topLeftCell="D8" workbookViewId="0">
      <selection activeCell="F23" sqref="F23"/>
    </sheetView>
  </sheetViews>
  <sheetFormatPr defaultColWidth="9" defaultRowHeight="16.8"/>
  <cols>
    <col min="1" max="5" width="14" customWidth="1"/>
    <col min="6" max="6" width="30" customWidth="1"/>
    <col min="7" max="10" width="18" customWidth="1"/>
    <col min="11" max="11" width="24" customWidth="1"/>
  </cols>
  <sheetData>
    <row r="1" ht="30" customHeight="1" spans="1:1">
      <c r="A1" s="1" t="s">
        <v>4</v>
      </c>
    </row>
    <row r="3" ht="17" spans="1:11">
      <c r="A3" s="2" t="s">
        <v>5</v>
      </c>
      <c r="B3" s="2" t="s">
        <v>6</v>
      </c>
      <c r="C3" s="2" t="s">
        <v>7</v>
      </c>
      <c r="D3" s="2" t="s">
        <v>2</v>
      </c>
      <c r="E3" s="2" t="s">
        <v>1</v>
      </c>
      <c r="F3" s="2" t="s">
        <v>8</v>
      </c>
      <c r="G3" s="11" t="s">
        <v>9</v>
      </c>
      <c r="H3" s="11" t="s">
        <v>10</v>
      </c>
      <c r="I3" s="11" t="s">
        <v>10</v>
      </c>
      <c r="J3" s="11" t="s">
        <v>10</v>
      </c>
      <c r="K3" s="11" t="s">
        <v>10</v>
      </c>
    </row>
    <row r="4" ht="17" spans="1:11">
      <c r="A4" s="6">
        <f>参数说明!$B$8+0</f>
        <v>46197</v>
      </c>
      <c r="B4" s="4">
        <v>0</v>
      </c>
      <c r="C4" s="4">
        <f>IF(B4=0,0,IF(B4&lt;=7,FORECAST(B4,参数说明!$B$24:$B$25,参数说明!$A$24:$A$25),IF(B4&lt;=30,FORECAST(B4,参数说明!$B$25:$B$26,参数说明!$A$25:$A$26),IF(B4&lt;=60,FORECAST(B4,参数说明!$B$26:$B$27,参数说明!$A$26:$A$27),IF(B4&lt;=90,FORECAST(B4,参数说明!$B$27:$B$28,参数说明!$A$27:$A$28),IF(B4&lt;=180,FORECAST(B4,参数说明!$B$28:$B$29,参数说明!$A$28:$A$29),FORECAST(B4,参数说明!$B$29:$B$30,参数说明!$A$29:$A$30)))))))</f>
        <v>0</v>
      </c>
      <c r="D4" s="4">
        <f>C4</f>
        <v>0</v>
      </c>
      <c r="E4" s="4">
        <f>IF(D4&lt;'等级-经验对照'!$B$4,0,LOOKUP(D4,'等级-经验对照'!$B$4:$B$103,'等级-经验对照'!$A$4:$A$103))</f>
        <v>0</v>
      </c>
      <c r="F4" s="3" t="str">
        <f t="shared" ref="F4:F67" si="0">IF(OR(B4=1,B4=7,B4=30,B4=60,B4=90,B4=180,B4=365),"D"&amp;B4&amp;" / Lv"&amp;E4&amp;" / "&amp;ROUND(D4,0)&amp;" XP","")</f>
        <v/>
      </c>
      <c r="G4" s="11" t="s">
        <v>11</v>
      </c>
      <c r="H4" s="11" t="s">
        <v>12</v>
      </c>
      <c r="I4" s="11" t="s">
        <v>7</v>
      </c>
      <c r="J4" s="11" t="s">
        <v>2</v>
      </c>
      <c r="K4" s="11" t="s">
        <v>13</v>
      </c>
    </row>
    <row r="5" ht="17" spans="1:11">
      <c r="A5" s="6">
        <f>参数说明!$B$8+1</f>
        <v>46198</v>
      </c>
      <c r="B5" s="4">
        <v>1</v>
      </c>
      <c r="C5" s="4">
        <f>IF(B5=0,0,IF(B5&lt;=7,FORECAST(B5,参数说明!$B$24:$B$25,参数说明!$A$24:$A$25),IF(B5&lt;=30,FORECAST(B5,参数说明!$B$25:$B$26,参数说明!$A$25:$A$26),IF(B5&lt;=60,FORECAST(B5,参数说明!$B$26:$B$27,参数说明!$A$26:$A$27),IF(B5&lt;=90,FORECAST(B5,参数说明!$B$27:$B$28,参数说明!$A$27:$A$28),IF(B5&lt;=180,FORECAST(B5,参数说明!$B$28:$B$29,参数说明!$A$28:$A$29),FORECAST(B5,参数说明!$B$29:$B$30,参数说明!$A$29:$A$30)))))))</f>
        <v>30</v>
      </c>
      <c r="D5" s="4">
        <f t="shared" ref="D5:D68" si="1">D4+C5</f>
        <v>30</v>
      </c>
      <c r="E5" s="4">
        <f>IF(D5&lt;'等级-经验对照'!$B$4,0,LOOKUP(D5,'等级-经验对照'!$B$4:$B$103,'等级-经验对照'!$A$4:$A$103))</f>
        <v>3</v>
      </c>
      <c r="F5" s="3" t="str">
        <f t="shared" si="0"/>
        <v>D1 / Lv3 / 30 XP</v>
      </c>
      <c r="G5" s="14" t="s">
        <v>14</v>
      </c>
      <c r="H5" s="15">
        <f>_xlfn.XLOOKUP(1,$B$4:$B$369,$A$4:$A$369)</f>
        <v>46198</v>
      </c>
      <c r="I5" s="16">
        <f>_xlfn.XLOOKUP(1,$B$4:$B$369,$C$4:$C$369)</f>
        <v>30</v>
      </c>
      <c r="J5" s="16">
        <f>_xlfn.XLOOKUP(1,$B$4:$B$369,$D$4:$D$369)</f>
        <v>30</v>
      </c>
      <c r="K5" s="14" t="str">
        <f>"Lv"&amp;_xlfn.XLOOKUP(1,$B$4:$B$369,$E$4:$E$369)&amp;" / "&amp;_xlfn.XLOOKUP(1,$B$4:$B$369,$F$4:$F$369)</f>
        <v>Lv3 / D1 / Lv3 / 30 XP</v>
      </c>
    </row>
    <row r="6" ht="17" spans="1:11">
      <c r="A6" s="6">
        <f>参数说明!$B$8+2</f>
        <v>46199</v>
      </c>
      <c r="B6" s="4">
        <v>2</v>
      </c>
      <c r="C6" s="4">
        <f>IF(B6=0,0,IF(B6&lt;=7,FORECAST(B6,参数说明!$B$24:$B$25,参数说明!$A$24:$A$25),IF(B6&lt;=30,FORECAST(B6,参数说明!$B$25:$B$26,参数说明!$A$25:$A$26),IF(B6&lt;=60,FORECAST(B6,参数说明!$B$26:$B$27,参数说明!$A$26:$A$27),IF(B6&lt;=90,FORECAST(B6,参数说明!$B$27:$B$28,参数说明!$A$27:$A$28),IF(B6&lt;=180,FORECAST(B6,参数说明!$B$28:$B$29,参数说明!$A$28:$A$29),FORECAST(B6,参数说明!$B$29:$B$30,参数说明!$A$29:$A$30)))))))</f>
        <v>30.8333333333333</v>
      </c>
      <c r="D6" s="4">
        <f t="shared" si="1"/>
        <v>60.8333333333333</v>
      </c>
      <c r="E6" s="4">
        <f>IF(D6&lt;'等级-经验对照'!$B$4,0,LOOKUP(D6,'等级-经验对照'!$B$4:$B$103,'等级-经验对照'!$A$4:$A$103))</f>
        <v>4</v>
      </c>
      <c r="F6" s="3" t="str">
        <f t="shared" si="0"/>
        <v/>
      </c>
      <c r="G6" s="14" t="s">
        <v>15</v>
      </c>
      <c r="H6" s="15">
        <f>_xlfn.XLOOKUP(7,$B$4:$B$369,$A$4:$A$369)</f>
        <v>46204</v>
      </c>
      <c r="I6" s="16">
        <f>_xlfn.XLOOKUP(7,$B$4:$B$369,$C$4:$C$369)</f>
        <v>35</v>
      </c>
      <c r="J6" s="16">
        <f>_xlfn.XLOOKUP(7,$B$4:$B$369,$D$4:$D$369)</f>
        <v>227.5</v>
      </c>
      <c r="K6" s="14" t="str">
        <f>"Lv"&amp;_xlfn.XLOOKUP(7,$B$4:$B$369,$E$4:$E$369)&amp;" / "&amp;_xlfn.XLOOKUP(7,$B$4:$B$369,$F$4:$F$369)</f>
        <v>Lv10 / D7 / Lv10 / 228 XP</v>
      </c>
    </row>
    <row r="7" ht="17" spans="1:11">
      <c r="A7" s="6">
        <f>参数说明!$B$8+3</f>
        <v>46200</v>
      </c>
      <c r="B7" s="4">
        <v>3</v>
      </c>
      <c r="C7" s="4">
        <f>IF(B7=0,0,IF(B7&lt;=7,FORECAST(B7,参数说明!$B$24:$B$25,参数说明!$A$24:$A$25),IF(B7&lt;=30,FORECAST(B7,参数说明!$B$25:$B$26,参数说明!$A$25:$A$26),IF(B7&lt;=60,FORECAST(B7,参数说明!$B$26:$B$27,参数说明!$A$26:$A$27),IF(B7&lt;=90,FORECAST(B7,参数说明!$B$27:$B$28,参数说明!$A$27:$A$28),IF(B7&lt;=180,FORECAST(B7,参数说明!$B$28:$B$29,参数说明!$A$28:$A$29),FORECAST(B7,参数说明!$B$29:$B$30,参数说明!$A$29:$A$30)))))))</f>
        <v>31.6666666666667</v>
      </c>
      <c r="D7" s="4">
        <f t="shared" si="1"/>
        <v>92.5</v>
      </c>
      <c r="E7" s="4">
        <f>IF(D7&lt;'等级-经验对照'!$B$4,0,LOOKUP(D7,'等级-经验对照'!$B$4:$B$103,'等级-经验对照'!$A$4:$A$103))</f>
        <v>5</v>
      </c>
      <c r="F7" s="3" t="str">
        <f t="shared" si="0"/>
        <v/>
      </c>
      <c r="G7" s="14" t="s">
        <v>16</v>
      </c>
      <c r="H7" s="15">
        <f>_xlfn.XLOOKUP(30,$B$4:$B$369,$A$4:$A$369)</f>
        <v>46227</v>
      </c>
      <c r="I7" s="16">
        <f>_xlfn.XLOOKUP(30,$B$4:$B$369,$C$4:$C$369)</f>
        <v>45</v>
      </c>
      <c r="J7" s="16">
        <f>_xlfn.XLOOKUP(30,$B$4:$B$369,$D$4:$D$369)</f>
        <v>1152.5</v>
      </c>
      <c r="K7" s="14" t="str">
        <f>"Lv"&amp;_xlfn.XLOOKUP(30,$B$4:$B$369,$E$4:$E$369)&amp;" / "&amp;_xlfn.XLOOKUP(30,$B$4:$B$369,$F$4:$F$369)</f>
        <v>Lv25 / D30 / Lv25 / 1153 XP</v>
      </c>
    </row>
    <row r="8" ht="17" spans="1:11">
      <c r="A8" s="6">
        <f>参数说明!$B$8+4</f>
        <v>46201</v>
      </c>
      <c r="B8" s="4">
        <v>4</v>
      </c>
      <c r="C8" s="4">
        <f>IF(B8=0,0,IF(B8&lt;=7,FORECAST(B8,参数说明!$B$24:$B$25,参数说明!$A$24:$A$25),IF(B8&lt;=30,FORECAST(B8,参数说明!$B$25:$B$26,参数说明!$A$25:$A$26),IF(B8&lt;=60,FORECAST(B8,参数说明!$B$26:$B$27,参数说明!$A$26:$A$27),IF(B8&lt;=90,FORECAST(B8,参数说明!$B$27:$B$28,参数说明!$A$27:$A$28),IF(B8&lt;=180,FORECAST(B8,参数说明!$B$28:$B$29,参数说明!$A$28:$A$29),FORECAST(B8,参数说明!$B$29:$B$30,参数说明!$A$29:$A$30)))))))</f>
        <v>32.5</v>
      </c>
      <c r="D8" s="4">
        <f t="shared" si="1"/>
        <v>125</v>
      </c>
      <c r="E8" s="4">
        <f>IF(D8&lt;'等级-经验对照'!$B$4,0,LOOKUP(D8,'等级-经验对照'!$B$4:$B$103,'等级-经验对照'!$A$4:$A$103))</f>
        <v>6</v>
      </c>
      <c r="F8" s="3" t="str">
        <f t="shared" si="0"/>
        <v/>
      </c>
      <c r="G8" s="14" t="s">
        <v>17</v>
      </c>
      <c r="H8" s="15">
        <f>_xlfn.XLOOKUP(60,$B$4:$B$369,$A$4:$A$369)</f>
        <v>46257</v>
      </c>
      <c r="I8" s="16">
        <f>_xlfn.XLOOKUP(60,$B$4:$B$369,$C$4:$C$369)</f>
        <v>55</v>
      </c>
      <c r="J8" s="16">
        <f>_xlfn.XLOOKUP(60,$B$4:$B$369,$D$4:$D$369)</f>
        <v>2657.5</v>
      </c>
      <c r="K8" s="14" t="str">
        <f>"Lv"&amp;_xlfn.XLOOKUP(60,$B$4:$B$369,$E$4:$E$369)&amp;" / "&amp;_xlfn.XLOOKUP(60,$B$4:$B$369,$F$4:$F$369)</f>
        <v>Lv37 / D60 / Lv37 / 2658 XP</v>
      </c>
    </row>
    <row r="9" ht="17" spans="1:11">
      <c r="A9" s="6">
        <f>参数说明!$B$8+5</f>
        <v>46202</v>
      </c>
      <c r="B9" s="4">
        <v>5</v>
      </c>
      <c r="C9" s="4">
        <f>IF(B9=0,0,IF(B9&lt;=7,FORECAST(B9,参数说明!$B$24:$B$25,参数说明!$A$24:$A$25),IF(B9&lt;=30,FORECAST(B9,参数说明!$B$25:$B$26,参数说明!$A$25:$A$26),IF(B9&lt;=60,FORECAST(B9,参数说明!$B$26:$B$27,参数说明!$A$26:$A$27),IF(B9&lt;=90,FORECAST(B9,参数说明!$B$27:$B$28,参数说明!$A$27:$A$28),IF(B9&lt;=180,FORECAST(B9,参数说明!$B$28:$B$29,参数说明!$A$28:$A$29),FORECAST(B9,参数说明!$B$29:$B$30,参数说明!$A$29:$A$30)))))))</f>
        <v>33.3333333333333</v>
      </c>
      <c r="D9" s="4">
        <f t="shared" si="1"/>
        <v>158.333333333333</v>
      </c>
      <c r="E9" s="4">
        <f>IF(D9&lt;'等级-经验对照'!$B$4,0,LOOKUP(D9,'等级-经验对照'!$B$4:$B$103,'等级-经验对照'!$A$4:$A$103))</f>
        <v>7</v>
      </c>
      <c r="F9" s="3" t="str">
        <f t="shared" si="0"/>
        <v/>
      </c>
      <c r="G9" s="14" t="s">
        <v>18</v>
      </c>
      <c r="H9" s="15">
        <f>_xlfn.XLOOKUP(90,$B$4:$B$369,$A$4:$A$369)</f>
        <v>46287</v>
      </c>
      <c r="I9" s="16">
        <f>_xlfn.XLOOKUP(90,$B$4:$B$369,$C$4:$C$369)</f>
        <v>65</v>
      </c>
      <c r="J9" s="16">
        <f>_xlfn.XLOOKUP(90,$B$4:$B$369,$D$4:$D$369)</f>
        <v>4462.5</v>
      </c>
      <c r="K9" s="14" t="str">
        <f>"Lv"&amp;_xlfn.XLOOKUP(90,$B$4:$B$369,$E$4:$E$369)&amp;" / "&amp;_xlfn.XLOOKUP(90,$B$4:$B$369,$F$4:$F$369)</f>
        <v>Lv45 / D90 / Lv45 / 4463 XP</v>
      </c>
    </row>
    <row r="10" ht="17" spans="1:11">
      <c r="A10" s="6">
        <f>参数说明!$B$8+6</f>
        <v>46203</v>
      </c>
      <c r="B10" s="4">
        <v>6</v>
      </c>
      <c r="C10" s="4">
        <f>IF(B10=0,0,IF(B10&lt;=7,FORECAST(B10,参数说明!$B$24:$B$25,参数说明!$A$24:$A$25),IF(B10&lt;=30,FORECAST(B10,参数说明!$B$25:$B$26,参数说明!$A$25:$A$26),IF(B10&lt;=60,FORECAST(B10,参数说明!$B$26:$B$27,参数说明!$A$26:$A$27),IF(B10&lt;=90,FORECAST(B10,参数说明!$B$27:$B$28,参数说明!$A$27:$A$28),IF(B10&lt;=180,FORECAST(B10,参数说明!$B$28:$B$29,参数说明!$A$28:$A$29),FORECAST(B10,参数说明!$B$29:$B$30,参数说明!$A$29:$A$30)))))))</f>
        <v>34.1666666666667</v>
      </c>
      <c r="D10" s="4">
        <f t="shared" si="1"/>
        <v>192.5</v>
      </c>
      <c r="E10" s="4">
        <f>IF(D10&lt;'等级-经验对照'!$B$4,0,LOOKUP(D10,'等级-经验对照'!$B$4:$B$103,'等级-经验对照'!$A$4:$A$103))</f>
        <v>8</v>
      </c>
      <c r="F10" s="3" t="str">
        <f t="shared" si="0"/>
        <v/>
      </c>
      <c r="G10" s="14" t="s">
        <v>19</v>
      </c>
      <c r="H10" s="15">
        <f>_xlfn.XLOOKUP(180,$B$4:$B$369,$A$4:$A$369)</f>
        <v>46377</v>
      </c>
      <c r="I10" s="16">
        <f>_xlfn.XLOOKUP(180,$B$4:$B$369,$C$4:$C$369)</f>
        <v>80</v>
      </c>
      <c r="J10" s="16">
        <f>_xlfn.XLOOKUP(180,$B$4:$B$369,$D$4:$D$369)</f>
        <v>10995</v>
      </c>
      <c r="K10" s="14" t="str">
        <f>"Lv"&amp;_xlfn.XLOOKUP(180,$B$4:$B$369,$E$4:$E$369)&amp;" / "&amp;_xlfn.XLOOKUP(180,$B$4:$B$369,$F$4:$F$369)</f>
        <v>Lv65 / D180 / Lv65 / 10995 XP</v>
      </c>
    </row>
    <row r="11" ht="17" spans="1:11">
      <c r="A11" s="6">
        <f>参数说明!$B$8+7</f>
        <v>46204</v>
      </c>
      <c r="B11" s="4">
        <v>7</v>
      </c>
      <c r="C11" s="4">
        <f>IF(B11=0,0,IF(B11&lt;=7,FORECAST(B11,参数说明!$B$24:$B$25,参数说明!$A$24:$A$25),IF(B11&lt;=30,FORECAST(B11,参数说明!$B$25:$B$26,参数说明!$A$25:$A$26),IF(B11&lt;=60,FORECAST(B11,参数说明!$B$26:$B$27,参数说明!$A$26:$A$27),IF(B11&lt;=90,FORECAST(B11,参数说明!$B$27:$B$28,参数说明!$A$27:$A$28),IF(B11&lt;=180,FORECAST(B11,参数说明!$B$28:$B$29,参数说明!$A$28:$A$29),FORECAST(B11,参数说明!$B$29:$B$30,参数说明!$A$29:$A$30)))))))</f>
        <v>35</v>
      </c>
      <c r="D11" s="4">
        <f t="shared" si="1"/>
        <v>227.5</v>
      </c>
      <c r="E11" s="4">
        <f>IF(D11&lt;'等级-经验对照'!$B$4,0,LOOKUP(D11,'等级-经验对照'!$B$4:$B$103,'等级-经验对照'!$A$4:$A$103))</f>
        <v>10</v>
      </c>
      <c r="F11" s="3" t="str">
        <f t="shared" si="0"/>
        <v>D7 / Lv10 / 228 XP</v>
      </c>
      <c r="G11" s="14" t="s">
        <v>20</v>
      </c>
      <c r="H11" s="15">
        <f>_xlfn.XLOOKUP(365,$B$4:$B$369,$A$4:$A$369)</f>
        <v>46562</v>
      </c>
      <c r="I11" s="16">
        <f>_xlfn.XLOOKUP(365,$B$4:$B$369,$C$4:$C$369)</f>
        <v>100</v>
      </c>
      <c r="J11" s="16">
        <f>_xlfn.XLOOKUP(365,$B$4:$B$369,$D$4:$D$369)</f>
        <v>27655</v>
      </c>
      <c r="K11" s="14" t="str">
        <f>"Lv"&amp;_xlfn.XLOOKUP(365,$B$4:$B$369,$E$4:$E$369)&amp;" / "&amp;_xlfn.XLOOKUP(365,$B$4:$B$369,$F$4:$F$369)</f>
        <v>Lv100 / D365 / Lv100 / 27655 XP</v>
      </c>
    </row>
    <row r="12" ht="51" spans="1:11">
      <c r="A12" s="6">
        <f>参数说明!$B$8+8</f>
        <v>46205</v>
      </c>
      <c r="B12" s="4">
        <v>8</v>
      </c>
      <c r="C12" s="4">
        <f>IF(B12=0,0,IF(B12&lt;=7,FORECAST(B12,参数说明!$B$24:$B$25,参数说明!$A$24:$A$25),IF(B12&lt;=30,FORECAST(B12,参数说明!$B$25:$B$26,参数说明!$A$25:$A$26),IF(B12&lt;=60,FORECAST(B12,参数说明!$B$26:$B$27,参数说明!$A$26:$A$27),IF(B12&lt;=90,FORECAST(B12,参数说明!$B$27:$B$28,参数说明!$A$27:$A$28),IF(B12&lt;=180,FORECAST(B12,参数说明!$B$28:$B$29,参数说明!$A$28:$A$29),FORECAST(B12,参数说明!$B$29:$B$30,参数说明!$A$29:$A$30)))))))</f>
        <v>35.4347826086957</v>
      </c>
      <c r="D12" s="4">
        <f t="shared" si="1"/>
        <v>262.934782608696</v>
      </c>
      <c r="E12" s="4">
        <f>IF(D12&lt;'等级-经验对照'!$B$4,0,LOOKUP(D12,'等级-经验对照'!$B$4:$B$103,'等级-经验对照'!$A$4:$A$103))</f>
        <v>10</v>
      </c>
      <c r="F12" s="3" t="str">
        <f t="shared" si="0"/>
        <v/>
      </c>
      <c r="G12" s="14" t="s">
        <v>21</v>
      </c>
      <c r="H12" s="14" t="s">
        <v>22</v>
      </c>
      <c r="I12" s="14" t="s">
        <v>10</v>
      </c>
      <c r="J12" s="14" t="s">
        <v>10</v>
      </c>
      <c r="K12" s="14" t="s">
        <v>10</v>
      </c>
    </row>
    <row r="13" ht="51" spans="1:11">
      <c r="A13" s="6">
        <f>参数说明!$B$8+9</f>
        <v>46206</v>
      </c>
      <c r="B13" s="4">
        <v>9</v>
      </c>
      <c r="C13" s="4">
        <f>IF(B13=0,0,IF(B13&lt;=7,FORECAST(B13,参数说明!$B$24:$B$25,参数说明!$A$24:$A$25),IF(B13&lt;=30,FORECAST(B13,参数说明!$B$25:$B$26,参数说明!$A$25:$A$26),IF(B13&lt;=60,FORECAST(B13,参数说明!$B$26:$B$27,参数说明!$A$26:$A$27),IF(B13&lt;=90,FORECAST(B13,参数说明!$B$27:$B$28,参数说明!$A$27:$A$28),IF(B13&lt;=180,FORECAST(B13,参数说明!$B$28:$B$29,参数说明!$A$28:$A$29),FORECAST(B13,参数说明!$B$29:$B$30,参数说明!$A$29:$A$30)))))))</f>
        <v>35.8695652173913</v>
      </c>
      <c r="D13" s="4">
        <f t="shared" si="1"/>
        <v>298.804347826087</v>
      </c>
      <c r="E13" s="4">
        <f>IF(D13&lt;'等级-经验对照'!$B$4,0,LOOKUP(D13,'等级-经验对照'!$B$4:$B$103,'等级-经验对照'!$A$4:$A$103))</f>
        <v>11</v>
      </c>
      <c r="F13" s="3" t="str">
        <f t="shared" si="0"/>
        <v/>
      </c>
      <c r="G13" s="14" t="s">
        <v>23</v>
      </c>
      <c r="H13" s="14" t="s">
        <v>24</v>
      </c>
      <c r="I13" s="14" t="s">
        <v>10</v>
      </c>
      <c r="J13" s="14" t="s">
        <v>10</v>
      </c>
      <c r="K13" s="14" t="s">
        <v>10</v>
      </c>
    </row>
    <row r="14" spans="1:6">
      <c r="A14" s="6">
        <f>参数说明!$B$8+10</f>
        <v>46207</v>
      </c>
      <c r="B14" s="4">
        <v>10</v>
      </c>
      <c r="C14" s="4">
        <f>IF(B14=0,0,IF(B14&lt;=7,FORECAST(B14,参数说明!$B$24:$B$25,参数说明!$A$24:$A$25),IF(B14&lt;=30,FORECAST(B14,参数说明!$B$25:$B$26,参数说明!$A$25:$A$26),IF(B14&lt;=60,FORECAST(B14,参数说明!$B$26:$B$27,参数说明!$A$26:$A$27),IF(B14&lt;=90,FORECAST(B14,参数说明!$B$27:$B$28,参数说明!$A$27:$A$28),IF(B14&lt;=180,FORECAST(B14,参数说明!$B$28:$B$29,参数说明!$A$28:$A$29),FORECAST(B14,参数说明!$B$29:$B$30,参数说明!$A$29:$A$30)))))))</f>
        <v>36.304347826087</v>
      </c>
      <c r="D14" s="4">
        <f t="shared" si="1"/>
        <v>335.108695652174</v>
      </c>
      <c r="E14" s="4">
        <f>IF(D14&lt;'等级-经验对照'!$B$4,0,LOOKUP(D14,'等级-经验对照'!$B$4:$B$103,'等级-经验对照'!$A$4:$A$103))</f>
        <v>11</v>
      </c>
      <c r="F14" s="3" t="str">
        <f t="shared" si="0"/>
        <v/>
      </c>
    </row>
    <row r="15" spans="1:6">
      <c r="A15" s="6">
        <f>参数说明!$B$8+11</f>
        <v>46208</v>
      </c>
      <c r="B15" s="4">
        <v>11</v>
      </c>
      <c r="C15" s="4">
        <f>IF(B15=0,0,IF(B15&lt;=7,FORECAST(B15,参数说明!$B$24:$B$25,参数说明!$A$24:$A$25),IF(B15&lt;=30,FORECAST(B15,参数说明!$B$25:$B$26,参数说明!$A$25:$A$26),IF(B15&lt;=60,FORECAST(B15,参数说明!$B$26:$B$27,参数说明!$A$26:$A$27),IF(B15&lt;=90,FORECAST(B15,参数说明!$B$27:$B$28,参数说明!$A$27:$A$28),IF(B15&lt;=180,FORECAST(B15,参数说明!$B$28:$B$29,参数说明!$A$28:$A$29),FORECAST(B15,参数说明!$B$29:$B$30,参数说明!$A$29:$A$30)))))))</f>
        <v>36.7391304347826</v>
      </c>
      <c r="D15" s="4">
        <f t="shared" si="1"/>
        <v>371.847826086957</v>
      </c>
      <c r="E15" s="4">
        <f>IF(D15&lt;'等级-经验对照'!$B$4,0,LOOKUP(D15,'等级-经验对照'!$B$4:$B$103,'等级-经验对照'!$A$4:$A$103))</f>
        <v>12</v>
      </c>
      <c r="F15" s="3" t="str">
        <f t="shared" si="0"/>
        <v/>
      </c>
    </row>
    <row r="16" spans="1:6">
      <c r="A16" s="6">
        <f>参数说明!$B$8+12</f>
        <v>46209</v>
      </c>
      <c r="B16" s="4">
        <v>12</v>
      </c>
      <c r="C16" s="4">
        <f>IF(B16=0,0,IF(B16&lt;=7,FORECAST(B16,参数说明!$B$24:$B$25,参数说明!$A$24:$A$25),IF(B16&lt;=30,FORECAST(B16,参数说明!$B$25:$B$26,参数说明!$A$25:$A$26),IF(B16&lt;=60,FORECAST(B16,参数说明!$B$26:$B$27,参数说明!$A$26:$A$27),IF(B16&lt;=90,FORECAST(B16,参数说明!$B$27:$B$28,参数说明!$A$27:$A$28),IF(B16&lt;=180,FORECAST(B16,参数说明!$B$28:$B$29,参数说明!$A$28:$A$29),FORECAST(B16,参数说明!$B$29:$B$30,参数说明!$A$29:$A$30)))))))</f>
        <v>37.1739130434783</v>
      </c>
      <c r="D16" s="4">
        <f t="shared" si="1"/>
        <v>409.021739130435</v>
      </c>
      <c r="E16" s="4">
        <f>IF(D16&lt;'等级-经验对照'!$B$4,0,LOOKUP(D16,'等级-经验对照'!$B$4:$B$103,'等级-经验对照'!$A$4:$A$103))</f>
        <v>12</v>
      </c>
      <c r="F16" s="3" t="str">
        <f t="shared" si="0"/>
        <v/>
      </c>
    </row>
    <row r="17" spans="1:6">
      <c r="A17" s="6">
        <f>参数说明!$B$8+13</f>
        <v>46210</v>
      </c>
      <c r="B17" s="4">
        <v>13</v>
      </c>
      <c r="C17" s="4">
        <f>IF(B17=0,0,IF(B17&lt;=7,FORECAST(B17,参数说明!$B$24:$B$25,参数说明!$A$24:$A$25),IF(B17&lt;=30,FORECAST(B17,参数说明!$B$25:$B$26,参数说明!$A$25:$A$26),IF(B17&lt;=60,FORECAST(B17,参数说明!$B$26:$B$27,参数说明!$A$26:$A$27),IF(B17&lt;=90,FORECAST(B17,参数说明!$B$27:$B$28,参数说明!$A$27:$A$28),IF(B17&lt;=180,FORECAST(B17,参数说明!$B$28:$B$29,参数说明!$A$28:$A$29),FORECAST(B17,参数说明!$B$29:$B$30,参数说明!$A$29:$A$30)))))))</f>
        <v>37.6086956521739</v>
      </c>
      <c r="D17" s="4">
        <f t="shared" si="1"/>
        <v>446.630434782609</v>
      </c>
      <c r="E17" s="4">
        <f>IF(D17&lt;'等级-经验对照'!$B$4,0,LOOKUP(D17,'等级-经验对照'!$B$4:$B$103,'等级-经验对照'!$A$4:$A$103))</f>
        <v>13</v>
      </c>
      <c r="F17" s="3" t="str">
        <f t="shared" si="0"/>
        <v/>
      </c>
    </row>
    <row r="18" spans="1:6">
      <c r="A18" s="6">
        <f>参数说明!$B$8+14</f>
        <v>46211</v>
      </c>
      <c r="B18" s="4">
        <v>14</v>
      </c>
      <c r="C18" s="4">
        <f>IF(B18=0,0,IF(B18&lt;=7,FORECAST(B18,参数说明!$B$24:$B$25,参数说明!$A$24:$A$25),IF(B18&lt;=30,FORECAST(B18,参数说明!$B$25:$B$26,参数说明!$A$25:$A$26),IF(B18&lt;=60,FORECAST(B18,参数说明!$B$26:$B$27,参数说明!$A$26:$A$27),IF(B18&lt;=90,FORECAST(B18,参数说明!$B$27:$B$28,参数说明!$A$27:$A$28),IF(B18&lt;=180,FORECAST(B18,参数说明!$B$28:$B$29,参数说明!$A$28:$A$29),FORECAST(B18,参数说明!$B$29:$B$30,参数说明!$A$29:$A$30)))))))</f>
        <v>38.0434782608696</v>
      </c>
      <c r="D18" s="4">
        <f t="shared" si="1"/>
        <v>484.673913043478</v>
      </c>
      <c r="E18" s="4">
        <f>IF(D18&lt;'等级-经验对照'!$B$4,0,LOOKUP(D18,'等级-经验对照'!$B$4:$B$103,'等级-经验对照'!$A$4:$A$103))</f>
        <v>14</v>
      </c>
      <c r="F18" s="3" t="str">
        <f t="shared" si="0"/>
        <v/>
      </c>
    </row>
    <row r="19" spans="1:6">
      <c r="A19" s="6">
        <f>参数说明!$B$8+15</f>
        <v>46212</v>
      </c>
      <c r="B19" s="4">
        <v>15</v>
      </c>
      <c r="C19" s="4">
        <f>IF(B19=0,0,IF(B19&lt;=7,FORECAST(B19,参数说明!$B$24:$B$25,参数说明!$A$24:$A$25),IF(B19&lt;=30,FORECAST(B19,参数说明!$B$25:$B$26,参数说明!$A$25:$A$26),IF(B19&lt;=60,FORECAST(B19,参数说明!$B$26:$B$27,参数说明!$A$26:$A$27),IF(B19&lt;=90,FORECAST(B19,参数说明!$B$27:$B$28,参数说明!$A$27:$A$28),IF(B19&lt;=180,FORECAST(B19,参数说明!$B$28:$B$29,参数说明!$A$28:$A$29),FORECAST(B19,参数说明!$B$29:$B$30,参数说明!$A$29:$A$30)))))))</f>
        <v>38.4782608695652</v>
      </c>
      <c r="D19" s="4">
        <f t="shared" si="1"/>
        <v>523.152173913043</v>
      </c>
      <c r="E19" s="4">
        <f>IF(D19&lt;'等级-经验对照'!$B$4,0,LOOKUP(D19,'等级-经验对照'!$B$4:$B$103,'等级-经验对照'!$A$4:$A$103))</f>
        <v>14</v>
      </c>
      <c r="F19" s="3" t="str">
        <f t="shared" si="0"/>
        <v/>
      </c>
    </row>
    <row r="20" spans="1:6">
      <c r="A20" s="6">
        <f>参数说明!$B$8+16</f>
        <v>46213</v>
      </c>
      <c r="B20" s="4">
        <v>16</v>
      </c>
      <c r="C20" s="4">
        <f>IF(B20=0,0,IF(B20&lt;=7,FORECAST(B20,参数说明!$B$24:$B$25,参数说明!$A$24:$A$25),IF(B20&lt;=30,FORECAST(B20,参数说明!$B$25:$B$26,参数说明!$A$25:$A$26),IF(B20&lt;=60,FORECAST(B20,参数说明!$B$26:$B$27,参数说明!$A$26:$A$27),IF(B20&lt;=90,FORECAST(B20,参数说明!$B$27:$B$28,参数说明!$A$27:$A$28),IF(B20&lt;=180,FORECAST(B20,参数说明!$B$28:$B$29,参数说明!$A$28:$A$29),FORECAST(B20,参数说明!$B$29:$B$30,参数说明!$A$29:$A$30)))))))</f>
        <v>38.9130434782609</v>
      </c>
      <c r="D20" s="4">
        <f t="shared" si="1"/>
        <v>562.065217391304</v>
      </c>
      <c r="E20" s="4">
        <f>IF(D20&lt;'等级-经验对照'!$B$4,0,LOOKUP(D20,'等级-经验对照'!$B$4:$B$103,'等级-经验对照'!$A$4:$A$103))</f>
        <v>15</v>
      </c>
      <c r="F20" s="3" t="str">
        <f t="shared" si="0"/>
        <v/>
      </c>
    </row>
    <row r="21" spans="1:6">
      <c r="A21" s="6">
        <f>参数说明!$B$8+17</f>
        <v>46214</v>
      </c>
      <c r="B21" s="4">
        <v>17</v>
      </c>
      <c r="C21" s="4">
        <f>IF(B21=0,0,IF(B21&lt;=7,FORECAST(B21,参数说明!$B$24:$B$25,参数说明!$A$24:$A$25),IF(B21&lt;=30,FORECAST(B21,参数说明!$B$25:$B$26,参数说明!$A$25:$A$26),IF(B21&lt;=60,FORECAST(B21,参数说明!$B$26:$B$27,参数说明!$A$26:$A$27),IF(B21&lt;=90,FORECAST(B21,参数说明!$B$27:$B$28,参数说明!$A$27:$A$28),IF(B21&lt;=180,FORECAST(B21,参数说明!$B$28:$B$29,参数说明!$A$28:$A$29),FORECAST(B21,参数说明!$B$29:$B$30,参数说明!$A$29:$A$30)))))))</f>
        <v>39.3478260869565</v>
      </c>
      <c r="D21" s="4">
        <f t="shared" si="1"/>
        <v>601.413043478261</v>
      </c>
      <c r="E21" s="4">
        <f>IF(D21&lt;'等级-经验对照'!$B$4,0,LOOKUP(D21,'等级-经验对照'!$B$4:$B$103,'等级-经验对照'!$A$4:$A$103))</f>
        <v>16</v>
      </c>
      <c r="F21" s="3" t="str">
        <f t="shared" si="0"/>
        <v/>
      </c>
    </row>
    <row r="22" spans="1:6">
      <c r="A22" s="6">
        <f>参数说明!$B$8+18</f>
        <v>46215</v>
      </c>
      <c r="B22" s="4">
        <v>18</v>
      </c>
      <c r="C22" s="4">
        <f>IF(B22=0,0,IF(B22&lt;=7,FORECAST(B22,参数说明!$B$24:$B$25,参数说明!$A$24:$A$25),IF(B22&lt;=30,FORECAST(B22,参数说明!$B$25:$B$26,参数说明!$A$25:$A$26),IF(B22&lt;=60,FORECAST(B22,参数说明!$B$26:$B$27,参数说明!$A$26:$A$27),IF(B22&lt;=90,FORECAST(B22,参数说明!$B$27:$B$28,参数说明!$A$27:$A$28),IF(B22&lt;=180,FORECAST(B22,参数说明!$B$28:$B$29,参数说明!$A$28:$A$29),FORECAST(B22,参数说明!$B$29:$B$30,参数说明!$A$29:$A$30)))))))</f>
        <v>39.7826086956522</v>
      </c>
      <c r="D22" s="4">
        <f t="shared" si="1"/>
        <v>641.195652173913</v>
      </c>
      <c r="E22" s="4">
        <f>IF(D22&lt;'等级-经验对照'!$B$4,0,LOOKUP(D22,'等级-经验对照'!$B$4:$B$103,'等级-经验对照'!$A$4:$A$103))</f>
        <v>16</v>
      </c>
      <c r="F22" s="3" t="str">
        <f t="shared" si="0"/>
        <v/>
      </c>
    </row>
    <row r="23" spans="1:6">
      <c r="A23" s="6">
        <f>参数说明!$B$8+19</f>
        <v>46216</v>
      </c>
      <c r="B23" s="4">
        <v>19</v>
      </c>
      <c r="C23" s="4">
        <f>IF(B23=0,0,IF(B23&lt;=7,FORECAST(B23,参数说明!$B$24:$B$25,参数说明!$A$24:$A$25),IF(B23&lt;=30,FORECAST(B23,参数说明!$B$25:$B$26,参数说明!$A$25:$A$26),IF(B23&lt;=60,FORECAST(B23,参数说明!$B$26:$B$27,参数说明!$A$26:$A$27),IF(B23&lt;=90,FORECAST(B23,参数说明!$B$27:$B$28,参数说明!$A$27:$A$28),IF(B23&lt;=180,FORECAST(B23,参数说明!$B$28:$B$29,参数说明!$A$28:$A$29),FORECAST(B23,参数说明!$B$29:$B$30,参数说明!$A$29:$A$30)))))))</f>
        <v>40.2173913043478</v>
      </c>
      <c r="D23" s="4">
        <f t="shared" si="1"/>
        <v>681.413043478261</v>
      </c>
      <c r="E23" s="4">
        <f>IF(D23&lt;'等级-经验对照'!$B$4,0,LOOKUP(D23,'等级-经验对照'!$B$4:$B$103,'等级-经验对照'!$A$4:$A$103))</f>
        <v>17</v>
      </c>
      <c r="F23" s="3" t="str">
        <f t="shared" si="0"/>
        <v/>
      </c>
    </row>
    <row r="24" spans="1:6">
      <c r="A24" s="6">
        <f>参数说明!$B$8+20</f>
        <v>46217</v>
      </c>
      <c r="B24" s="4">
        <v>20</v>
      </c>
      <c r="C24" s="4">
        <f>IF(B24=0,0,IF(B24&lt;=7,FORECAST(B24,参数说明!$B$24:$B$25,参数说明!$A$24:$A$25),IF(B24&lt;=30,FORECAST(B24,参数说明!$B$25:$B$26,参数说明!$A$25:$A$26),IF(B24&lt;=60,FORECAST(B24,参数说明!$B$26:$B$27,参数说明!$A$26:$A$27),IF(B24&lt;=90,FORECAST(B24,参数说明!$B$27:$B$28,参数说明!$A$27:$A$28),IF(B24&lt;=180,FORECAST(B24,参数说明!$B$28:$B$29,参数说明!$A$28:$A$29),FORECAST(B24,参数说明!$B$29:$B$30,参数说明!$A$29:$A$30)))))))</f>
        <v>40.6521739130435</v>
      </c>
      <c r="D24" s="4">
        <f t="shared" si="1"/>
        <v>722.065217391304</v>
      </c>
      <c r="E24" s="4">
        <f>IF(D24&lt;'等级-经验对照'!$B$4,0,LOOKUP(D24,'等级-经验对照'!$B$4:$B$103,'等级-经验对照'!$A$4:$A$103))</f>
        <v>18</v>
      </c>
      <c r="F24" s="3" t="str">
        <f t="shared" si="0"/>
        <v/>
      </c>
    </row>
    <row r="25" spans="1:6">
      <c r="A25" s="6">
        <f>参数说明!$B$8+21</f>
        <v>46218</v>
      </c>
      <c r="B25" s="4">
        <v>21</v>
      </c>
      <c r="C25" s="4">
        <f>IF(B25=0,0,IF(B25&lt;=7,FORECAST(B25,参数说明!$B$24:$B$25,参数说明!$A$24:$A$25),IF(B25&lt;=30,FORECAST(B25,参数说明!$B$25:$B$26,参数说明!$A$25:$A$26),IF(B25&lt;=60,FORECAST(B25,参数说明!$B$26:$B$27,参数说明!$A$26:$A$27),IF(B25&lt;=90,FORECAST(B25,参数说明!$B$27:$B$28,参数说明!$A$27:$A$28),IF(B25&lt;=180,FORECAST(B25,参数说明!$B$28:$B$29,参数说明!$A$28:$A$29),FORECAST(B25,参数说明!$B$29:$B$30,参数说明!$A$29:$A$30)))))))</f>
        <v>41.0869565217391</v>
      </c>
      <c r="D25" s="4">
        <f t="shared" si="1"/>
        <v>763.152173913043</v>
      </c>
      <c r="E25" s="4">
        <f>IF(D25&lt;'等级-经验对照'!$B$4,0,LOOKUP(D25,'等级-经验对照'!$B$4:$B$103,'等级-经验对照'!$A$4:$A$103))</f>
        <v>18</v>
      </c>
      <c r="F25" s="3" t="str">
        <f t="shared" si="0"/>
        <v/>
      </c>
    </row>
    <row r="26" spans="1:6">
      <c r="A26" s="6">
        <f>参数说明!$B$8+22</f>
        <v>46219</v>
      </c>
      <c r="B26" s="4">
        <v>22</v>
      </c>
      <c r="C26" s="4">
        <f>IF(B26=0,0,IF(B26&lt;=7,FORECAST(B26,参数说明!$B$24:$B$25,参数说明!$A$24:$A$25),IF(B26&lt;=30,FORECAST(B26,参数说明!$B$25:$B$26,参数说明!$A$25:$A$26),IF(B26&lt;=60,FORECAST(B26,参数说明!$B$26:$B$27,参数说明!$A$26:$A$27),IF(B26&lt;=90,FORECAST(B26,参数说明!$B$27:$B$28,参数说明!$A$27:$A$28),IF(B26&lt;=180,FORECAST(B26,参数说明!$B$28:$B$29,参数说明!$A$28:$A$29),FORECAST(B26,参数说明!$B$29:$B$30,参数说明!$A$29:$A$30)))))))</f>
        <v>41.5217391304348</v>
      </c>
      <c r="D26" s="4">
        <f t="shared" si="1"/>
        <v>804.673913043478</v>
      </c>
      <c r="E26" s="4">
        <f>IF(D26&lt;'等级-经验对照'!$B$4,0,LOOKUP(D26,'等级-经验对照'!$B$4:$B$103,'等级-经验对照'!$A$4:$A$103))</f>
        <v>19</v>
      </c>
      <c r="F26" s="3" t="str">
        <f t="shared" si="0"/>
        <v/>
      </c>
    </row>
    <row r="27" spans="1:6">
      <c r="A27" s="6">
        <f>参数说明!$B$8+23</f>
        <v>46220</v>
      </c>
      <c r="B27" s="4">
        <v>23</v>
      </c>
      <c r="C27" s="4">
        <f>IF(B27=0,0,IF(B27&lt;=7,FORECAST(B27,参数说明!$B$24:$B$25,参数说明!$A$24:$A$25),IF(B27&lt;=30,FORECAST(B27,参数说明!$B$25:$B$26,参数说明!$A$25:$A$26),IF(B27&lt;=60,FORECAST(B27,参数说明!$B$26:$B$27,参数说明!$A$26:$A$27),IF(B27&lt;=90,FORECAST(B27,参数说明!$B$27:$B$28,参数说明!$A$27:$A$28),IF(B27&lt;=180,FORECAST(B27,参数说明!$B$28:$B$29,参数说明!$A$28:$A$29),FORECAST(B27,参数说明!$B$29:$B$30,参数说明!$A$29:$A$30)))))))</f>
        <v>41.9565217391304</v>
      </c>
      <c r="D27" s="4">
        <f t="shared" si="1"/>
        <v>846.630434782609</v>
      </c>
      <c r="E27" s="4">
        <f>IF(D27&lt;'等级-经验对照'!$B$4,0,LOOKUP(D27,'等级-经验对照'!$B$4:$B$103,'等级-经验对照'!$A$4:$A$103))</f>
        <v>20</v>
      </c>
      <c r="F27" s="3" t="str">
        <f t="shared" si="0"/>
        <v/>
      </c>
    </row>
    <row r="28" spans="1:6">
      <c r="A28" s="6">
        <f>参数说明!$B$8+24</f>
        <v>46221</v>
      </c>
      <c r="B28" s="4">
        <v>24</v>
      </c>
      <c r="C28" s="4">
        <f>IF(B28=0,0,IF(B28&lt;=7,FORECAST(B28,参数说明!$B$24:$B$25,参数说明!$A$24:$A$25),IF(B28&lt;=30,FORECAST(B28,参数说明!$B$25:$B$26,参数说明!$A$25:$A$26),IF(B28&lt;=60,FORECAST(B28,参数说明!$B$26:$B$27,参数说明!$A$26:$A$27),IF(B28&lt;=90,FORECAST(B28,参数说明!$B$27:$B$28,参数说明!$A$27:$A$28),IF(B28&lt;=180,FORECAST(B28,参数说明!$B$28:$B$29,参数说明!$A$28:$A$29),FORECAST(B28,参数说明!$B$29:$B$30,参数说明!$A$29:$A$30)))))))</f>
        <v>42.3913043478261</v>
      </c>
      <c r="D28" s="4">
        <f t="shared" si="1"/>
        <v>889.021739130435</v>
      </c>
      <c r="E28" s="4">
        <f>IF(D28&lt;'等级-经验对照'!$B$4,0,LOOKUP(D28,'等级-经验对照'!$B$4:$B$103,'等级-经验对照'!$A$4:$A$103))</f>
        <v>20</v>
      </c>
      <c r="F28" s="3" t="str">
        <f t="shared" si="0"/>
        <v/>
      </c>
    </row>
    <row r="29" spans="1:6">
      <c r="A29" s="6">
        <f>参数说明!$B$8+25</f>
        <v>46222</v>
      </c>
      <c r="B29" s="4">
        <v>25</v>
      </c>
      <c r="C29" s="4">
        <f>IF(B29=0,0,IF(B29&lt;=7,FORECAST(B29,参数说明!$B$24:$B$25,参数说明!$A$24:$A$25),IF(B29&lt;=30,FORECAST(B29,参数说明!$B$25:$B$26,参数说明!$A$25:$A$26),IF(B29&lt;=60,FORECAST(B29,参数说明!$B$26:$B$27,参数说明!$A$26:$A$27),IF(B29&lt;=90,FORECAST(B29,参数说明!$B$27:$B$28,参数说明!$A$27:$A$28),IF(B29&lt;=180,FORECAST(B29,参数说明!$B$28:$B$29,参数说明!$A$28:$A$29),FORECAST(B29,参数说明!$B$29:$B$30,参数说明!$A$29:$A$30)))))))</f>
        <v>42.8260869565217</v>
      </c>
      <c r="D29" s="4">
        <f t="shared" si="1"/>
        <v>931.847826086957</v>
      </c>
      <c r="E29" s="4">
        <f>IF(D29&lt;'等级-经验对照'!$B$4,0,LOOKUP(D29,'等级-经验对照'!$B$4:$B$103,'等级-经验对照'!$A$4:$A$103))</f>
        <v>21</v>
      </c>
      <c r="F29" s="3" t="str">
        <f t="shared" si="0"/>
        <v/>
      </c>
    </row>
    <row r="30" spans="1:6">
      <c r="A30" s="6">
        <f>参数说明!$B$8+26</f>
        <v>46223</v>
      </c>
      <c r="B30" s="4">
        <v>26</v>
      </c>
      <c r="C30" s="4">
        <f>IF(B30=0,0,IF(B30&lt;=7,FORECAST(B30,参数说明!$B$24:$B$25,参数说明!$A$24:$A$25),IF(B30&lt;=30,FORECAST(B30,参数说明!$B$25:$B$26,参数说明!$A$25:$A$26),IF(B30&lt;=60,FORECAST(B30,参数说明!$B$26:$B$27,参数说明!$A$26:$A$27),IF(B30&lt;=90,FORECAST(B30,参数说明!$B$27:$B$28,参数说明!$A$27:$A$28),IF(B30&lt;=180,FORECAST(B30,参数说明!$B$28:$B$29,参数说明!$A$28:$A$29),FORECAST(B30,参数说明!$B$29:$B$30,参数说明!$A$29:$A$30)))))))</f>
        <v>43.2608695652174</v>
      </c>
      <c r="D30" s="4">
        <f t="shared" si="1"/>
        <v>975.108695652174</v>
      </c>
      <c r="E30" s="4">
        <f>IF(D30&lt;'等级-经验对照'!$B$4,0,LOOKUP(D30,'等级-经验对照'!$B$4:$B$103,'等级-经验对照'!$A$4:$A$103))</f>
        <v>22</v>
      </c>
      <c r="F30" s="3" t="str">
        <f t="shared" si="0"/>
        <v/>
      </c>
    </row>
    <row r="31" spans="1:6">
      <c r="A31" s="6">
        <f>参数说明!$B$8+27</f>
        <v>46224</v>
      </c>
      <c r="B31" s="4">
        <v>27</v>
      </c>
      <c r="C31" s="4">
        <f>IF(B31=0,0,IF(B31&lt;=7,FORECAST(B31,参数说明!$B$24:$B$25,参数说明!$A$24:$A$25),IF(B31&lt;=30,FORECAST(B31,参数说明!$B$25:$B$26,参数说明!$A$25:$A$26),IF(B31&lt;=60,FORECAST(B31,参数说明!$B$26:$B$27,参数说明!$A$26:$A$27),IF(B31&lt;=90,FORECAST(B31,参数说明!$B$27:$B$28,参数说明!$A$27:$A$28),IF(B31&lt;=180,FORECAST(B31,参数说明!$B$28:$B$29,参数说明!$A$28:$A$29),FORECAST(B31,参数说明!$B$29:$B$30,参数说明!$A$29:$A$30)))))))</f>
        <v>43.695652173913</v>
      </c>
      <c r="D31" s="4">
        <f t="shared" si="1"/>
        <v>1018.80434782609</v>
      </c>
      <c r="E31" s="4">
        <f>IF(D31&lt;'等级-经验对照'!$B$4,0,LOOKUP(D31,'等级-经验对照'!$B$4:$B$103,'等级-经验对照'!$A$4:$A$103))</f>
        <v>22</v>
      </c>
      <c r="F31" s="3" t="str">
        <f t="shared" si="0"/>
        <v/>
      </c>
    </row>
    <row r="32" spans="1:6">
      <c r="A32" s="6">
        <f>参数说明!$B$8+28</f>
        <v>46225</v>
      </c>
      <c r="B32" s="4">
        <v>28</v>
      </c>
      <c r="C32" s="4">
        <f>IF(B32=0,0,IF(B32&lt;=7,FORECAST(B32,参数说明!$B$24:$B$25,参数说明!$A$24:$A$25),IF(B32&lt;=30,FORECAST(B32,参数说明!$B$25:$B$26,参数说明!$A$25:$A$26),IF(B32&lt;=60,FORECAST(B32,参数说明!$B$26:$B$27,参数说明!$A$26:$A$27),IF(B32&lt;=90,FORECAST(B32,参数说明!$B$27:$B$28,参数说明!$A$27:$A$28),IF(B32&lt;=180,FORECAST(B32,参数说明!$B$28:$B$29,参数说明!$A$28:$A$29),FORECAST(B32,参数说明!$B$29:$B$30,参数说明!$A$29:$A$30)))))))</f>
        <v>44.1304347826087</v>
      </c>
      <c r="D32" s="4">
        <f t="shared" si="1"/>
        <v>1062.9347826087</v>
      </c>
      <c r="E32" s="4">
        <f>IF(D32&lt;'等级-经验对照'!$B$4,0,LOOKUP(D32,'等级-经验对照'!$B$4:$B$103,'等级-经验对照'!$A$4:$A$103))</f>
        <v>23</v>
      </c>
      <c r="F32" s="3" t="str">
        <f t="shared" si="0"/>
        <v/>
      </c>
    </row>
    <row r="33" spans="1:6">
      <c r="A33" s="6">
        <f>参数说明!$B$8+29</f>
        <v>46226</v>
      </c>
      <c r="B33" s="4">
        <v>29</v>
      </c>
      <c r="C33" s="4">
        <f>IF(B33=0,0,IF(B33&lt;=7,FORECAST(B33,参数说明!$B$24:$B$25,参数说明!$A$24:$A$25),IF(B33&lt;=30,FORECAST(B33,参数说明!$B$25:$B$26,参数说明!$A$25:$A$26),IF(B33&lt;=60,FORECAST(B33,参数说明!$B$26:$B$27,参数说明!$A$26:$A$27),IF(B33&lt;=90,FORECAST(B33,参数说明!$B$27:$B$28,参数说明!$A$27:$A$28),IF(B33&lt;=180,FORECAST(B33,参数说明!$B$28:$B$29,参数说明!$A$28:$A$29),FORECAST(B33,参数说明!$B$29:$B$30,参数说明!$A$29:$A$30)))))))</f>
        <v>44.5652173913044</v>
      </c>
      <c r="D33" s="4">
        <f t="shared" si="1"/>
        <v>1107.5</v>
      </c>
      <c r="E33" s="4">
        <f>IF(D33&lt;'等级-经验对照'!$B$4,0,LOOKUP(D33,'等级-经验对照'!$B$4:$B$103,'等级-经验对照'!$A$4:$A$103))</f>
        <v>24</v>
      </c>
      <c r="F33" s="3" t="str">
        <f t="shared" si="0"/>
        <v/>
      </c>
    </row>
    <row r="34" spans="1:6">
      <c r="A34" s="6">
        <f>参数说明!$B$8+30</f>
        <v>46227</v>
      </c>
      <c r="B34" s="4">
        <v>30</v>
      </c>
      <c r="C34" s="4">
        <f>IF(B34=0,0,IF(B34&lt;=7,FORECAST(B34,参数说明!$B$24:$B$25,参数说明!$A$24:$A$25),IF(B34&lt;=30,FORECAST(B34,参数说明!$B$25:$B$26,参数说明!$A$25:$A$26),IF(B34&lt;=60,FORECAST(B34,参数说明!$B$26:$B$27,参数说明!$A$26:$A$27),IF(B34&lt;=90,FORECAST(B34,参数说明!$B$27:$B$28,参数说明!$A$27:$A$28),IF(B34&lt;=180,FORECAST(B34,参数说明!$B$28:$B$29,参数说明!$A$28:$A$29),FORECAST(B34,参数说明!$B$29:$B$30,参数说明!$A$29:$A$30)))))))</f>
        <v>45</v>
      </c>
      <c r="D34" s="4">
        <f t="shared" si="1"/>
        <v>1152.5</v>
      </c>
      <c r="E34" s="4">
        <f>IF(D34&lt;'等级-经验对照'!$B$4,0,LOOKUP(D34,'等级-经验对照'!$B$4:$B$103,'等级-经验对照'!$A$4:$A$103))</f>
        <v>25</v>
      </c>
      <c r="F34" s="3" t="str">
        <f t="shared" si="0"/>
        <v>D30 / Lv25 / 1153 XP</v>
      </c>
    </row>
    <row r="35" spans="1:6">
      <c r="A35" s="6">
        <f>参数说明!$B$8+31</f>
        <v>46228</v>
      </c>
      <c r="B35" s="4">
        <v>31</v>
      </c>
      <c r="C35" s="4">
        <f>IF(B35=0,0,IF(B35&lt;=7,FORECAST(B35,参数说明!$B$24:$B$25,参数说明!$A$24:$A$25),IF(B35&lt;=30,FORECAST(B35,参数说明!$B$25:$B$26,参数说明!$A$25:$A$26),IF(B35&lt;=60,FORECAST(B35,参数说明!$B$26:$B$27,参数说明!$A$26:$A$27),IF(B35&lt;=90,FORECAST(B35,参数说明!$B$27:$B$28,参数说明!$A$27:$A$28),IF(B35&lt;=180,FORECAST(B35,参数说明!$B$28:$B$29,参数说明!$A$28:$A$29),FORECAST(B35,参数说明!$B$29:$B$30,参数说明!$A$29:$A$30)))))))</f>
        <v>45.3333333333333</v>
      </c>
      <c r="D35" s="4">
        <f t="shared" si="1"/>
        <v>1197.83333333333</v>
      </c>
      <c r="E35" s="4">
        <f>IF(D35&lt;'等级-经验对照'!$B$4,0,LOOKUP(D35,'等级-经验对照'!$B$4:$B$103,'等级-经验对照'!$A$4:$A$103))</f>
        <v>25</v>
      </c>
      <c r="F35" s="3" t="str">
        <f t="shared" si="0"/>
        <v/>
      </c>
    </row>
    <row r="36" spans="1:6">
      <c r="A36" s="6">
        <f>参数说明!$B$8+32</f>
        <v>46229</v>
      </c>
      <c r="B36" s="4">
        <v>32</v>
      </c>
      <c r="C36" s="4">
        <f>IF(B36=0,0,IF(B36&lt;=7,FORECAST(B36,参数说明!$B$24:$B$25,参数说明!$A$24:$A$25),IF(B36&lt;=30,FORECAST(B36,参数说明!$B$25:$B$26,参数说明!$A$25:$A$26),IF(B36&lt;=60,FORECAST(B36,参数说明!$B$26:$B$27,参数说明!$A$26:$A$27),IF(B36&lt;=90,FORECAST(B36,参数说明!$B$27:$B$28,参数说明!$A$27:$A$28),IF(B36&lt;=180,FORECAST(B36,参数说明!$B$28:$B$29,参数说明!$A$28:$A$29),FORECAST(B36,参数说明!$B$29:$B$30,参数说明!$A$29:$A$30)))))))</f>
        <v>45.6666666666667</v>
      </c>
      <c r="D36" s="4">
        <f t="shared" si="1"/>
        <v>1243.5</v>
      </c>
      <c r="E36" s="4">
        <f>IF(D36&lt;'等级-经验对照'!$B$4,0,LOOKUP(D36,'等级-经验对照'!$B$4:$B$103,'等级-经验对照'!$A$4:$A$103))</f>
        <v>25</v>
      </c>
      <c r="F36" s="3" t="str">
        <f t="shared" si="0"/>
        <v/>
      </c>
    </row>
    <row r="37" spans="1:6">
      <c r="A37" s="6">
        <f>参数说明!$B$8+33</f>
        <v>46230</v>
      </c>
      <c r="B37" s="4">
        <v>33</v>
      </c>
      <c r="C37" s="4">
        <f>IF(B37=0,0,IF(B37&lt;=7,FORECAST(B37,参数说明!$B$24:$B$25,参数说明!$A$24:$A$25),IF(B37&lt;=30,FORECAST(B37,参数说明!$B$25:$B$26,参数说明!$A$25:$A$26),IF(B37&lt;=60,FORECAST(B37,参数说明!$B$26:$B$27,参数说明!$A$26:$A$27),IF(B37&lt;=90,FORECAST(B37,参数说明!$B$27:$B$28,参数说明!$A$27:$A$28),IF(B37&lt;=180,FORECAST(B37,参数说明!$B$28:$B$29,参数说明!$A$28:$A$29),FORECAST(B37,参数说明!$B$29:$B$30,参数说明!$A$29:$A$30)))))))</f>
        <v>46</v>
      </c>
      <c r="D37" s="4">
        <f t="shared" si="1"/>
        <v>1289.5</v>
      </c>
      <c r="E37" s="4">
        <f>IF(D37&lt;'等级-经验对照'!$B$4,0,LOOKUP(D37,'等级-经验对照'!$B$4:$B$103,'等级-经验对照'!$A$4:$A$103))</f>
        <v>26</v>
      </c>
      <c r="F37" s="3" t="str">
        <f t="shared" si="0"/>
        <v/>
      </c>
    </row>
    <row r="38" spans="1:6">
      <c r="A38" s="6">
        <f>参数说明!$B$8+34</f>
        <v>46231</v>
      </c>
      <c r="B38" s="4">
        <v>34</v>
      </c>
      <c r="C38" s="4">
        <f>IF(B38=0,0,IF(B38&lt;=7,FORECAST(B38,参数说明!$B$24:$B$25,参数说明!$A$24:$A$25),IF(B38&lt;=30,FORECAST(B38,参数说明!$B$25:$B$26,参数说明!$A$25:$A$26),IF(B38&lt;=60,FORECAST(B38,参数说明!$B$26:$B$27,参数说明!$A$26:$A$27),IF(B38&lt;=90,FORECAST(B38,参数说明!$B$27:$B$28,参数说明!$A$27:$A$28),IF(B38&lt;=180,FORECAST(B38,参数说明!$B$28:$B$29,参数说明!$A$28:$A$29),FORECAST(B38,参数说明!$B$29:$B$30,参数说明!$A$29:$A$30)))))))</f>
        <v>46.3333333333333</v>
      </c>
      <c r="D38" s="4">
        <f t="shared" si="1"/>
        <v>1335.83333333333</v>
      </c>
      <c r="E38" s="4">
        <f>IF(D38&lt;'等级-经验对照'!$B$4,0,LOOKUP(D38,'等级-经验对照'!$B$4:$B$103,'等级-经验对照'!$A$4:$A$103))</f>
        <v>26</v>
      </c>
      <c r="F38" s="3" t="str">
        <f t="shared" si="0"/>
        <v/>
      </c>
    </row>
    <row r="39" spans="1:6">
      <c r="A39" s="6">
        <f>参数说明!$B$8+35</f>
        <v>46232</v>
      </c>
      <c r="B39" s="4">
        <v>35</v>
      </c>
      <c r="C39" s="4">
        <f>IF(B39=0,0,IF(B39&lt;=7,FORECAST(B39,参数说明!$B$24:$B$25,参数说明!$A$24:$A$25),IF(B39&lt;=30,FORECAST(B39,参数说明!$B$25:$B$26,参数说明!$A$25:$A$26),IF(B39&lt;=60,FORECAST(B39,参数说明!$B$26:$B$27,参数说明!$A$26:$A$27),IF(B39&lt;=90,FORECAST(B39,参数说明!$B$27:$B$28,参数说明!$A$27:$A$28),IF(B39&lt;=180,FORECAST(B39,参数说明!$B$28:$B$29,参数说明!$A$28:$A$29),FORECAST(B39,参数说明!$B$29:$B$30,参数说明!$A$29:$A$30)))))))</f>
        <v>46.6666666666667</v>
      </c>
      <c r="D39" s="4">
        <f t="shared" si="1"/>
        <v>1382.5</v>
      </c>
      <c r="E39" s="4">
        <f>IF(D39&lt;'等级-经验对照'!$B$4,0,LOOKUP(D39,'等级-经验对照'!$B$4:$B$103,'等级-经验对照'!$A$4:$A$103))</f>
        <v>26</v>
      </c>
      <c r="F39" s="3" t="str">
        <f t="shared" si="0"/>
        <v/>
      </c>
    </row>
    <row r="40" spans="1:6">
      <c r="A40" s="6">
        <f>参数说明!$B$8+36</f>
        <v>46233</v>
      </c>
      <c r="B40" s="4">
        <v>36</v>
      </c>
      <c r="C40" s="4">
        <f>IF(B40=0,0,IF(B40&lt;=7,FORECAST(B40,参数说明!$B$24:$B$25,参数说明!$A$24:$A$25),IF(B40&lt;=30,FORECAST(B40,参数说明!$B$25:$B$26,参数说明!$A$25:$A$26),IF(B40&lt;=60,FORECAST(B40,参数说明!$B$26:$B$27,参数说明!$A$26:$A$27),IF(B40&lt;=90,FORECAST(B40,参数说明!$B$27:$B$28,参数说明!$A$27:$A$28),IF(B40&lt;=180,FORECAST(B40,参数说明!$B$28:$B$29,参数说明!$A$28:$A$29),FORECAST(B40,参数说明!$B$29:$B$30,参数说明!$A$29:$A$30)))))))</f>
        <v>47</v>
      </c>
      <c r="D40" s="4">
        <f t="shared" si="1"/>
        <v>1429.5</v>
      </c>
      <c r="E40" s="4">
        <f>IF(D40&lt;'等级-经验对照'!$B$4,0,LOOKUP(D40,'等级-经验对照'!$B$4:$B$103,'等级-经验对照'!$A$4:$A$103))</f>
        <v>27</v>
      </c>
      <c r="F40" s="3" t="str">
        <f t="shared" si="0"/>
        <v/>
      </c>
    </row>
    <row r="41" spans="1:6">
      <c r="A41" s="6">
        <f>参数说明!$B$8+37</f>
        <v>46234</v>
      </c>
      <c r="B41" s="4">
        <v>37</v>
      </c>
      <c r="C41" s="4">
        <f>IF(B41=0,0,IF(B41&lt;=7,FORECAST(B41,参数说明!$B$24:$B$25,参数说明!$A$24:$A$25),IF(B41&lt;=30,FORECAST(B41,参数说明!$B$25:$B$26,参数说明!$A$25:$A$26),IF(B41&lt;=60,FORECAST(B41,参数说明!$B$26:$B$27,参数说明!$A$26:$A$27),IF(B41&lt;=90,FORECAST(B41,参数说明!$B$27:$B$28,参数说明!$A$27:$A$28),IF(B41&lt;=180,FORECAST(B41,参数说明!$B$28:$B$29,参数说明!$A$28:$A$29),FORECAST(B41,参数说明!$B$29:$B$30,参数说明!$A$29:$A$30)))))))</f>
        <v>47.3333333333333</v>
      </c>
      <c r="D41" s="4">
        <f t="shared" si="1"/>
        <v>1476.83333333333</v>
      </c>
      <c r="E41" s="4">
        <f>IF(D41&lt;'等级-经验对照'!$B$4,0,LOOKUP(D41,'等级-经验对照'!$B$4:$B$103,'等级-经验对照'!$A$4:$A$103))</f>
        <v>27</v>
      </c>
      <c r="F41" s="3" t="str">
        <f t="shared" si="0"/>
        <v/>
      </c>
    </row>
    <row r="42" spans="1:6">
      <c r="A42" s="6">
        <f>参数说明!$B$8+38</f>
        <v>46235</v>
      </c>
      <c r="B42" s="4">
        <v>38</v>
      </c>
      <c r="C42" s="4">
        <f>IF(B42=0,0,IF(B42&lt;=7,FORECAST(B42,参数说明!$B$24:$B$25,参数说明!$A$24:$A$25),IF(B42&lt;=30,FORECAST(B42,参数说明!$B$25:$B$26,参数说明!$A$25:$A$26),IF(B42&lt;=60,FORECAST(B42,参数说明!$B$26:$B$27,参数说明!$A$26:$A$27),IF(B42&lt;=90,FORECAST(B42,参数说明!$B$27:$B$28,参数说明!$A$27:$A$28),IF(B42&lt;=180,FORECAST(B42,参数说明!$B$28:$B$29,参数说明!$A$28:$A$29),FORECAST(B42,参数说明!$B$29:$B$30,参数说明!$A$29:$A$30)))))))</f>
        <v>47.6666666666667</v>
      </c>
      <c r="D42" s="4">
        <f t="shared" si="1"/>
        <v>1524.5</v>
      </c>
      <c r="E42" s="4">
        <f>IF(D42&lt;'等级-经验对照'!$B$4,0,LOOKUP(D42,'等级-经验对照'!$B$4:$B$103,'等级-经验对照'!$A$4:$A$103))</f>
        <v>27</v>
      </c>
      <c r="F42" s="3" t="str">
        <f t="shared" si="0"/>
        <v/>
      </c>
    </row>
    <row r="43" spans="1:6">
      <c r="A43" s="6">
        <f>参数说明!$B$8+39</f>
        <v>46236</v>
      </c>
      <c r="B43" s="4">
        <v>39</v>
      </c>
      <c r="C43" s="4">
        <f>IF(B43=0,0,IF(B43&lt;=7,FORECAST(B43,参数说明!$B$24:$B$25,参数说明!$A$24:$A$25),IF(B43&lt;=30,FORECAST(B43,参数说明!$B$25:$B$26,参数说明!$A$25:$A$26),IF(B43&lt;=60,FORECAST(B43,参数说明!$B$26:$B$27,参数说明!$A$26:$A$27),IF(B43&lt;=90,FORECAST(B43,参数说明!$B$27:$B$28,参数说明!$A$27:$A$28),IF(B43&lt;=180,FORECAST(B43,参数说明!$B$28:$B$29,参数说明!$A$28:$A$29),FORECAST(B43,参数说明!$B$29:$B$30,参数说明!$A$29:$A$30)))))))</f>
        <v>48</v>
      </c>
      <c r="D43" s="4">
        <f t="shared" si="1"/>
        <v>1572.5</v>
      </c>
      <c r="E43" s="4">
        <f>IF(D43&lt;'等级-经验对照'!$B$4,0,LOOKUP(D43,'等级-经验对照'!$B$4:$B$103,'等级-经验对照'!$A$4:$A$103))</f>
        <v>28</v>
      </c>
      <c r="F43" s="3" t="str">
        <f t="shared" si="0"/>
        <v/>
      </c>
    </row>
    <row r="44" spans="1:6">
      <c r="A44" s="6">
        <f>参数说明!$B$8+40</f>
        <v>46237</v>
      </c>
      <c r="B44" s="4">
        <v>40</v>
      </c>
      <c r="C44" s="4">
        <f>IF(B44=0,0,IF(B44&lt;=7,FORECAST(B44,参数说明!$B$24:$B$25,参数说明!$A$24:$A$25),IF(B44&lt;=30,FORECAST(B44,参数说明!$B$25:$B$26,参数说明!$A$25:$A$26),IF(B44&lt;=60,FORECAST(B44,参数说明!$B$26:$B$27,参数说明!$A$26:$A$27),IF(B44&lt;=90,FORECAST(B44,参数说明!$B$27:$B$28,参数说明!$A$27:$A$28),IF(B44&lt;=180,FORECAST(B44,参数说明!$B$28:$B$29,参数说明!$A$28:$A$29),FORECAST(B44,参数说明!$B$29:$B$30,参数说明!$A$29:$A$30)))))))</f>
        <v>48.3333333333333</v>
      </c>
      <c r="D44" s="4">
        <f t="shared" si="1"/>
        <v>1620.83333333333</v>
      </c>
      <c r="E44" s="4">
        <f>IF(D44&lt;'等级-经验对照'!$B$4,0,LOOKUP(D44,'等级-经验对照'!$B$4:$B$103,'等级-经验对照'!$A$4:$A$103))</f>
        <v>28</v>
      </c>
      <c r="F44" s="3" t="str">
        <f t="shared" si="0"/>
        <v/>
      </c>
    </row>
    <row r="45" spans="1:6">
      <c r="A45" s="6">
        <f>参数说明!$B$8+41</f>
        <v>46238</v>
      </c>
      <c r="B45" s="4">
        <v>41</v>
      </c>
      <c r="C45" s="4">
        <f>IF(B45=0,0,IF(B45&lt;=7,FORECAST(B45,参数说明!$B$24:$B$25,参数说明!$A$24:$A$25),IF(B45&lt;=30,FORECAST(B45,参数说明!$B$25:$B$26,参数说明!$A$25:$A$26),IF(B45&lt;=60,FORECAST(B45,参数说明!$B$26:$B$27,参数说明!$A$26:$A$27),IF(B45&lt;=90,FORECAST(B45,参数说明!$B$27:$B$28,参数说明!$A$27:$A$28),IF(B45&lt;=180,FORECAST(B45,参数说明!$B$28:$B$29,参数说明!$A$28:$A$29),FORECAST(B45,参数说明!$B$29:$B$30,参数说明!$A$29:$A$30)))))))</f>
        <v>48.6666666666667</v>
      </c>
      <c r="D45" s="4">
        <f t="shared" si="1"/>
        <v>1669.5</v>
      </c>
      <c r="E45" s="4">
        <f>IF(D45&lt;'等级-经验对照'!$B$4,0,LOOKUP(D45,'等级-经验对照'!$B$4:$B$103,'等级-经验对照'!$A$4:$A$103))</f>
        <v>29</v>
      </c>
      <c r="F45" s="3" t="str">
        <f t="shared" si="0"/>
        <v/>
      </c>
    </row>
    <row r="46" spans="1:6">
      <c r="A46" s="6">
        <f>参数说明!$B$8+42</f>
        <v>46239</v>
      </c>
      <c r="B46" s="4">
        <v>42</v>
      </c>
      <c r="C46" s="4">
        <f>IF(B46=0,0,IF(B46&lt;=7,FORECAST(B46,参数说明!$B$24:$B$25,参数说明!$A$24:$A$25),IF(B46&lt;=30,FORECAST(B46,参数说明!$B$25:$B$26,参数说明!$A$25:$A$26),IF(B46&lt;=60,FORECAST(B46,参数说明!$B$26:$B$27,参数说明!$A$26:$A$27),IF(B46&lt;=90,FORECAST(B46,参数说明!$B$27:$B$28,参数说明!$A$27:$A$28),IF(B46&lt;=180,FORECAST(B46,参数说明!$B$28:$B$29,参数说明!$A$28:$A$29),FORECAST(B46,参数说明!$B$29:$B$30,参数说明!$A$29:$A$30)))))))</f>
        <v>49</v>
      </c>
      <c r="D46" s="4">
        <f t="shared" si="1"/>
        <v>1718.5</v>
      </c>
      <c r="E46" s="4">
        <f>IF(D46&lt;'等级-经验对照'!$B$4,0,LOOKUP(D46,'等级-经验对照'!$B$4:$B$103,'等级-经验对照'!$A$4:$A$103))</f>
        <v>29</v>
      </c>
      <c r="F46" s="3" t="str">
        <f t="shared" si="0"/>
        <v/>
      </c>
    </row>
    <row r="47" spans="1:6">
      <c r="A47" s="6">
        <f>参数说明!$B$8+43</f>
        <v>46240</v>
      </c>
      <c r="B47" s="4">
        <v>43</v>
      </c>
      <c r="C47" s="4">
        <f>IF(B47=0,0,IF(B47&lt;=7,FORECAST(B47,参数说明!$B$24:$B$25,参数说明!$A$24:$A$25),IF(B47&lt;=30,FORECAST(B47,参数说明!$B$25:$B$26,参数说明!$A$25:$A$26),IF(B47&lt;=60,FORECAST(B47,参数说明!$B$26:$B$27,参数说明!$A$26:$A$27),IF(B47&lt;=90,FORECAST(B47,参数说明!$B$27:$B$28,参数说明!$A$27:$A$28),IF(B47&lt;=180,FORECAST(B47,参数说明!$B$28:$B$29,参数说明!$A$28:$A$29),FORECAST(B47,参数说明!$B$29:$B$30,参数说明!$A$29:$A$30)))))))</f>
        <v>49.3333333333333</v>
      </c>
      <c r="D47" s="4">
        <f t="shared" si="1"/>
        <v>1767.83333333333</v>
      </c>
      <c r="E47" s="4">
        <f>IF(D47&lt;'等级-经验对照'!$B$4,0,LOOKUP(D47,'等级-经验对照'!$B$4:$B$103,'等级-经验对照'!$A$4:$A$103))</f>
        <v>29</v>
      </c>
      <c r="F47" s="3" t="str">
        <f t="shared" si="0"/>
        <v/>
      </c>
    </row>
    <row r="48" spans="1:6">
      <c r="A48" s="6">
        <f>参数说明!$B$8+44</f>
        <v>46241</v>
      </c>
      <c r="B48" s="4">
        <v>44</v>
      </c>
      <c r="C48" s="4">
        <f>IF(B48=0,0,IF(B48&lt;=7,FORECAST(B48,参数说明!$B$24:$B$25,参数说明!$A$24:$A$25),IF(B48&lt;=30,FORECAST(B48,参数说明!$B$25:$B$26,参数说明!$A$25:$A$26),IF(B48&lt;=60,FORECAST(B48,参数说明!$B$26:$B$27,参数说明!$A$26:$A$27),IF(B48&lt;=90,FORECAST(B48,参数说明!$B$27:$B$28,参数说明!$A$27:$A$28),IF(B48&lt;=180,FORECAST(B48,参数说明!$B$28:$B$29,参数说明!$A$28:$A$29),FORECAST(B48,参数说明!$B$29:$B$30,参数说明!$A$29:$A$30)))))))</f>
        <v>49.6666666666667</v>
      </c>
      <c r="D48" s="4">
        <f t="shared" si="1"/>
        <v>1817.5</v>
      </c>
      <c r="E48" s="4">
        <f>IF(D48&lt;'等级-经验对照'!$B$4,0,LOOKUP(D48,'等级-经验对照'!$B$4:$B$103,'等级-经验对照'!$A$4:$A$103))</f>
        <v>30</v>
      </c>
      <c r="F48" s="3" t="str">
        <f t="shared" si="0"/>
        <v/>
      </c>
    </row>
    <row r="49" spans="1:6">
      <c r="A49" s="6">
        <f>参数说明!$B$8+45</f>
        <v>46242</v>
      </c>
      <c r="B49" s="4">
        <v>45</v>
      </c>
      <c r="C49" s="4">
        <f>IF(B49=0,0,IF(B49&lt;=7,FORECAST(B49,参数说明!$B$24:$B$25,参数说明!$A$24:$A$25),IF(B49&lt;=30,FORECAST(B49,参数说明!$B$25:$B$26,参数说明!$A$25:$A$26),IF(B49&lt;=60,FORECAST(B49,参数说明!$B$26:$B$27,参数说明!$A$26:$A$27),IF(B49&lt;=90,FORECAST(B49,参数说明!$B$27:$B$28,参数说明!$A$27:$A$28),IF(B49&lt;=180,FORECAST(B49,参数说明!$B$28:$B$29,参数说明!$A$28:$A$29),FORECAST(B49,参数说明!$B$29:$B$30,参数说明!$A$29:$A$30)))))))</f>
        <v>50</v>
      </c>
      <c r="D49" s="4">
        <f t="shared" si="1"/>
        <v>1867.5</v>
      </c>
      <c r="E49" s="4">
        <f>IF(D49&lt;'等级-经验对照'!$B$4,0,LOOKUP(D49,'等级-经验对照'!$B$4:$B$103,'等级-经验对照'!$A$4:$A$103))</f>
        <v>30</v>
      </c>
      <c r="F49" s="3" t="str">
        <f t="shared" si="0"/>
        <v/>
      </c>
    </row>
    <row r="50" spans="1:6">
      <c r="A50" s="6">
        <f>参数说明!$B$8+46</f>
        <v>46243</v>
      </c>
      <c r="B50" s="4">
        <v>46</v>
      </c>
      <c r="C50" s="4">
        <f>IF(B50=0,0,IF(B50&lt;=7,FORECAST(B50,参数说明!$B$24:$B$25,参数说明!$A$24:$A$25),IF(B50&lt;=30,FORECAST(B50,参数说明!$B$25:$B$26,参数说明!$A$25:$A$26),IF(B50&lt;=60,FORECAST(B50,参数说明!$B$26:$B$27,参数说明!$A$26:$A$27),IF(B50&lt;=90,FORECAST(B50,参数说明!$B$27:$B$28,参数说明!$A$27:$A$28),IF(B50&lt;=180,FORECAST(B50,参数说明!$B$28:$B$29,参数说明!$A$28:$A$29),FORECAST(B50,参数说明!$B$29:$B$30,参数说明!$A$29:$A$30)))))))</f>
        <v>50.3333333333333</v>
      </c>
      <c r="D50" s="4">
        <f t="shared" si="1"/>
        <v>1917.83333333333</v>
      </c>
      <c r="E50" s="4">
        <f>IF(D50&lt;'等级-经验对照'!$B$4,0,LOOKUP(D50,'等级-经验对照'!$B$4:$B$103,'等级-经验对照'!$A$4:$A$103))</f>
        <v>31</v>
      </c>
      <c r="F50" s="3" t="str">
        <f t="shared" si="0"/>
        <v/>
      </c>
    </row>
    <row r="51" spans="1:6">
      <c r="A51" s="6">
        <f>参数说明!$B$8+47</f>
        <v>46244</v>
      </c>
      <c r="B51" s="4">
        <v>47</v>
      </c>
      <c r="C51" s="4">
        <f>IF(B51=0,0,IF(B51&lt;=7,FORECAST(B51,参数说明!$B$24:$B$25,参数说明!$A$24:$A$25),IF(B51&lt;=30,FORECAST(B51,参数说明!$B$25:$B$26,参数说明!$A$25:$A$26),IF(B51&lt;=60,FORECAST(B51,参数说明!$B$26:$B$27,参数说明!$A$26:$A$27),IF(B51&lt;=90,FORECAST(B51,参数说明!$B$27:$B$28,参数说明!$A$27:$A$28),IF(B51&lt;=180,FORECAST(B51,参数说明!$B$28:$B$29,参数说明!$A$28:$A$29),FORECAST(B51,参数说明!$B$29:$B$30,参数说明!$A$29:$A$30)))))))</f>
        <v>50.6666666666667</v>
      </c>
      <c r="D51" s="4">
        <f t="shared" si="1"/>
        <v>1968.5</v>
      </c>
      <c r="E51" s="4">
        <f>IF(D51&lt;'等级-经验对照'!$B$4,0,LOOKUP(D51,'等级-经验对照'!$B$4:$B$103,'等级-经验对照'!$A$4:$A$103))</f>
        <v>31</v>
      </c>
      <c r="F51" s="3" t="str">
        <f t="shared" si="0"/>
        <v/>
      </c>
    </row>
    <row r="52" spans="1:6">
      <c r="A52" s="6">
        <f>参数说明!$B$8+48</f>
        <v>46245</v>
      </c>
      <c r="B52" s="4">
        <v>48</v>
      </c>
      <c r="C52" s="4">
        <f>IF(B52=0,0,IF(B52&lt;=7,FORECAST(B52,参数说明!$B$24:$B$25,参数说明!$A$24:$A$25),IF(B52&lt;=30,FORECAST(B52,参数说明!$B$25:$B$26,参数说明!$A$25:$A$26),IF(B52&lt;=60,FORECAST(B52,参数说明!$B$26:$B$27,参数说明!$A$26:$A$27),IF(B52&lt;=90,FORECAST(B52,参数说明!$B$27:$B$28,参数说明!$A$27:$A$28),IF(B52&lt;=180,FORECAST(B52,参数说明!$B$28:$B$29,参数说明!$A$28:$A$29),FORECAST(B52,参数说明!$B$29:$B$30,参数说明!$A$29:$A$30)))))))</f>
        <v>51</v>
      </c>
      <c r="D52" s="4">
        <f t="shared" si="1"/>
        <v>2019.5</v>
      </c>
      <c r="E52" s="4">
        <f>IF(D52&lt;'等级-经验对照'!$B$4,0,LOOKUP(D52,'等级-经验对照'!$B$4:$B$103,'等级-经验对照'!$A$4:$A$103))</f>
        <v>31</v>
      </c>
      <c r="F52" s="3" t="str">
        <f t="shared" si="0"/>
        <v/>
      </c>
    </row>
    <row r="53" spans="1:6">
      <c r="A53" s="6">
        <f>参数说明!$B$8+49</f>
        <v>46246</v>
      </c>
      <c r="B53" s="4">
        <v>49</v>
      </c>
      <c r="C53" s="4">
        <f>IF(B53=0,0,IF(B53&lt;=7,FORECAST(B53,参数说明!$B$24:$B$25,参数说明!$A$24:$A$25),IF(B53&lt;=30,FORECAST(B53,参数说明!$B$25:$B$26,参数说明!$A$25:$A$26),IF(B53&lt;=60,FORECAST(B53,参数说明!$B$26:$B$27,参数说明!$A$26:$A$27),IF(B53&lt;=90,FORECAST(B53,参数说明!$B$27:$B$28,参数说明!$A$27:$A$28),IF(B53&lt;=180,FORECAST(B53,参数说明!$B$28:$B$29,参数说明!$A$28:$A$29),FORECAST(B53,参数说明!$B$29:$B$30,参数说明!$A$29:$A$30)))))))</f>
        <v>51.3333333333333</v>
      </c>
      <c r="D53" s="4">
        <f t="shared" si="1"/>
        <v>2070.83333333333</v>
      </c>
      <c r="E53" s="4">
        <f>IF(D53&lt;'等级-经验对照'!$B$4,0,LOOKUP(D53,'等级-经验对照'!$B$4:$B$103,'等级-经验对照'!$A$4:$A$103))</f>
        <v>32</v>
      </c>
      <c r="F53" s="3" t="str">
        <f t="shared" si="0"/>
        <v/>
      </c>
    </row>
    <row r="54" spans="1:6">
      <c r="A54" s="6">
        <f>参数说明!$B$8+50</f>
        <v>46247</v>
      </c>
      <c r="B54" s="4">
        <v>50</v>
      </c>
      <c r="C54" s="4">
        <f>IF(B54=0,0,IF(B54&lt;=7,FORECAST(B54,参数说明!$B$24:$B$25,参数说明!$A$24:$A$25),IF(B54&lt;=30,FORECAST(B54,参数说明!$B$25:$B$26,参数说明!$A$25:$A$26),IF(B54&lt;=60,FORECAST(B54,参数说明!$B$26:$B$27,参数说明!$A$26:$A$27),IF(B54&lt;=90,FORECAST(B54,参数说明!$B$27:$B$28,参数说明!$A$27:$A$28),IF(B54&lt;=180,FORECAST(B54,参数说明!$B$28:$B$29,参数说明!$A$28:$A$29),FORECAST(B54,参数说明!$B$29:$B$30,参数说明!$A$29:$A$30)))))))</f>
        <v>51.6666666666667</v>
      </c>
      <c r="D54" s="4">
        <f t="shared" si="1"/>
        <v>2122.5</v>
      </c>
      <c r="E54" s="4">
        <f>IF(D54&lt;'等级-经验对照'!$B$4,0,LOOKUP(D54,'等级-经验对照'!$B$4:$B$103,'等级-经验对照'!$A$4:$A$103))</f>
        <v>32</v>
      </c>
      <c r="F54" s="3" t="str">
        <f t="shared" si="0"/>
        <v/>
      </c>
    </row>
    <row r="55" spans="1:6">
      <c r="A55" s="6">
        <f>参数说明!$B$8+51</f>
        <v>46248</v>
      </c>
      <c r="B55" s="4">
        <v>51</v>
      </c>
      <c r="C55" s="4">
        <f>IF(B55=0,0,IF(B55&lt;=7,FORECAST(B55,参数说明!$B$24:$B$25,参数说明!$A$24:$A$25),IF(B55&lt;=30,FORECAST(B55,参数说明!$B$25:$B$26,参数说明!$A$25:$A$26),IF(B55&lt;=60,FORECAST(B55,参数说明!$B$26:$B$27,参数说明!$A$26:$A$27),IF(B55&lt;=90,FORECAST(B55,参数说明!$B$27:$B$28,参数说明!$A$27:$A$28),IF(B55&lt;=180,FORECAST(B55,参数说明!$B$28:$B$29,参数说明!$A$28:$A$29),FORECAST(B55,参数说明!$B$29:$B$30,参数说明!$A$29:$A$30)))))))</f>
        <v>52</v>
      </c>
      <c r="D55" s="4">
        <f t="shared" si="1"/>
        <v>2174.5</v>
      </c>
      <c r="E55" s="4">
        <f>IF(D55&lt;'等级-经验对照'!$B$4,0,LOOKUP(D55,'等级-经验对照'!$B$4:$B$103,'等级-经验对照'!$A$4:$A$103))</f>
        <v>33</v>
      </c>
      <c r="F55" s="3" t="str">
        <f t="shared" si="0"/>
        <v/>
      </c>
    </row>
    <row r="56" spans="1:6">
      <c r="A56" s="6">
        <f>参数说明!$B$8+52</f>
        <v>46249</v>
      </c>
      <c r="B56" s="4">
        <v>52</v>
      </c>
      <c r="C56" s="4">
        <f>IF(B56=0,0,IF(B56&lt;=7,FORECAST(B56,参数说明!$B$24:$B$25,参数说明!$A$24:$A$25),IF(B56&lt;=30,FORECAST(B56,参数说明!$B$25:$B$26,参数说明!$A$25:$A$26),IF(B56&lt;=60,FORECAST(B56,参数说明!$B$26:$B$27,参数说明!$A$26:$A$27),IF(B56&lt;=90,FORECAST(B56,参数说明!$B$27:$B$28,参数说明!$A$27:$A$28),IF(B56&lt;=180,FORECAST(B56,参数说明!$B$28:$B$29,参数说明!$A$28:$A$29),FORECAST(B56,参数说明!$B$29:$B$30,参数说明!$A$29:$A$30)))))))</f>
        <v>52.3333333333333</v>
      </c>
      <c r="D56" s="4">
        <f t="shared" si="1"/>
        <v>2226.83333333333</v>
      </c>
      <c r="E56" s="4">
        <f>IF(D56&lt;'等级-经验对照'!$B$4,0,LOOKUP(D56,'等级-经验对照'!$B$4:$B$103,'等级-经验对照'!$A$4:$A$103))</f>
        <v>33</v>
      </c>
      <c r="F56" s="3" t="str">
        <f t="shared" si="0"/>
        <v/>
      </c>
    </row>
    <row r="57" spans="1:6">
      <c r="A57" s="6">
        <f>参数说明!$B$8+53</f>
        <v>46250</v>
      </c>
      <c r="B57" s="4">
        <v>53</v>
      </c>
      <c r="C57" s="4">
        <f>IF(B57=0,0,IF(B57&lt;=7,FORECAST(B57,参数说明!$B$24:$B$25,参数说明!$A$24:$A$25),IF(B57&lt;=30,FORECAST(B57,参数说明!$B$25:$B$26,参数说明!$A$25:$A$26),IF(B57&lt;=60,FORECAST(B57,参数说明!$B$26:$B$27,参数说明!$A$26:$A$27),IF(B57&lt;=90,FORECAST(B57,参数说明!$B$27:$B$28,参数说明!$A$27:$A$28),IF(B57&lt;=180,FORECAST(B57,参数说明!$B$28:$B$29,参数说明!$A$28:$A$29),FORECAST(B57,参数说明!$B$29:$B$30,参数说明!$A$29:$A$30)))))))</f>
        <v>52.6666666666667</v>
      </c>
      <c r="D57" s="4">
        <f t="shared" si="1"/>
        <v>2279.5</v>
      </c>
      <c r="E57" s="4">
        <f>IF(D57&lt;'等级-经验对照'!$B$4,0,LOOKUP(D57,'等级-经验对照'!$B$4:$B$103,'等级-经验对照'!$A$4:$A$103))</f>
        <v>34</v>
      </c>
      <c r="F57" s="3" t="str">
        <f t="shared" si="0"/>
        <v/>
      </c>
    </row>
    <row r="58" spans="1:6">
      <c r="A58" s="6">
        <f>参数说明!$B$8+54</f>
        <v>46251</v>
      </c>
      <c r="B58" s="4">
        <v>54</v>
      </c>
      <c r="C58" s="4">
        <f>IF(B58=0,0,IF(B58&lt;=7,FORECAST(B58,参数说明!$B$24:$B$25,参数说明!$A$24:$A$25),IF(B58&lt;=30,FORECAST(B58,参数说明!$B$25:$B$26,参数说明!$A$25:$A$26),IF(B58&lt;=60,FORECAST(B58,参数说明!$B$26:$B$27,参数说明!$A$26:$A$27),IF(B58&lt;=90,FORECAST(B58,参数说明!$B$27:$B$28,参数说明!$A$27:$A$28),IF(B58&lt;=180,FORECAST(B58,参数说明!$B$28:$B$29,参数说明!$A$28:$A$29),FORECAST(B58,参数说明!$B$29:$B$30,参数说明!$A$29:$A$30)))))))</f>
        <v>53</v>
      </c>
      <c r="D58" s="4">
        <f t="shared" si="1"/>
        <v>2332.5</v>
      </c>
      <c r="E58" s="4">
        <f>IF(D58&lt;'等级-经验对照'!$B$4,0,LOOKUP(D58,'等级-经验对照'!$B$4:$B$103,'等级-经验对照'!$A$4:$A$103))</f>
        <v>34</v>
      </c>
      <c r="F58" s="3" t="str">
        <f t="shared" si="0"/>
        <v/>
      </c>
    </row>
    <row r="59" spans="1:6">
      <c r="A59" s="6">
        <f>参数说明!$B$8+55</f>
        <v>46252</v>
      </c>
      <c r="B59" s="4">
        <v>55</v>
      </c>
      <c r="C59" s="4">
        <f>IF(B59=0,0,IF(B59&lt;=7,FORECAST(B59,参数说明!$B$24:$B$25,参数说明!$A$24:$A$25),IF(B59&lt;=30,FORECAST(B59,参数说明!$B$25:$B$26,参数说明!$A$25:$A$26),IF(B59&lt;=60,FORECAST(B59,参数说明!$B$26:$B$27,参数说明!$A$26:$A$27),IF(B59&lt;=90,FORECAST(B59,参数说明!$B$27:$B$28,参数说明!$A$27:$A$28),IF(B59&lt;=180,FORECAST(B59,参数说明!$B$28:$B$29,参数说明!$A$28:$A$29),FORECAST(B59,参数说明!$B$29:$B$30,参数说明!$A$29:$A$30)))))))</f>
        <v>53.3333333333333</v>
      </c>
      <c r="D59" s="4">
        <f t="shared" si="1"/>
        <v>2385.83333333333</v>
      </c>
      <c r="E59" s="4">
        <f>IF(D59&lt;'等级-经验对照'!$B$4,0,LOOKUP(D59,'等级-经验对照'!$B$4:$B$103,'等级-经验对照'!$A$4:$A$103))</f>
        <v>34</v>
      </c>
      <c r="F59" s="3" t="str">
        <f t="shared" si="0"/>
        <v/>
      </c>
    </row>
    <row r="60" spans="1:6">
      <c r="A60" s="6">
        <f>参数说明!$B$8+56</f>
        <v>46253</v>
      </c>
      <c r="B60" s="4">
        <v>56</v>
      </c>
      <c r="C60" s="4">
        <f>IF(B60=0,0,IF(B60&lt;=7,FORECAST(B60,参数说明!$B$24:$B$25,参数说明!$A$24:$A$25),IF(B60&lt;=30,FORECAST(B60,参数说明!$B$25:$B$26,参数说明!$A$25:$A$26),IF(B60&lt;=60,FORECAST(B60,参数说明!$B$26:$B$27,参数说明!$A$26:$A$27),IF(B60&lt;=90,FORECAST(B60,参数说明!$B$27:$B$28,参数说明!$A$27:$A$28),IF(B60&lt;=180,FORECAST(B60,参数说明!$B$28:$B$29,参数说明!$A$28:$A$29),FORECAST(B60,参数说明!$B$29:$B$30,参数说明!$A$29:$A$30)))))))</f>
        <v>53.6666666666667</v>
      </c>
      <c r="D60" s="4">
        <f t="shared" si="1"/>
        <v>2439.5</v>
      </c>
      <c r="E60" s="4">
        <f>IF(D60&lt;'等级-经验对照'!$B$4,0,LOOKUP(D60,'等级-经验对照'!$B$4:$B$103,'等级-经验对照'!$A$4:$A$103))</f>
        <v>35</v>
      </c>
      <c r="F60" s="3" t="str">
        <f t="shared" si="0"/>
        <v/>
      </c>
    </row>
    <row r="61" spans="1:6">
      <c r="A61" s="6">
        <f>参数说明!$B$8+57</f>
        <v>46254</v>
      </c>
      <c r="B61" s="4">
        <v>57</v>
      </c>
      <c r="C61" s="4">
        <f>IF(B61=0,0,IF(B61&lt;=7,FORECAST(B61,参数说明!$B$24:$B$25,参数说明!$A$24:$A$25),IF(B61&lt;=30,FORECAST(B61,参数说明!$B$25:$B$26,参数说明!$A$25:$A$26),IF(B61&lt;=60,FORECAST(B61,参数说明!$B$26:$B$27,参数说明!$A$26:$A$27),IF(B61&lt;=90,FORECAST(B61,参数说明!$B$27:$B$28,参数说明!$A$27:$A$28),IF(B61&lt;=180,FORECAST(B61,参数说明!$B$28:$B$29,参数说明!$A$28:$A$29),FORECAST(B61,参数说明!$B$29:$B$30,参数说明!$A$29:$A$30)))))))</f>
        <v>54</v>
      </c>
      <c r="D61" s="4">
        <f t="shared" si="1"/>
        <v>2493.5</v>
      </c>
      <c r="E61" s="4">
        <f>IF(D61&lt;'等级-经验对照'!$B$4,0,LOOKUP(D61,'等级-经验对照'!$B$4:$B$103,'等级-经验对照'!$A$4:$A$103))</f>
        <v>35</v>
      </c>
      <c r="F61" s="3" t="str">
        <f t="shared" si="0"/>
        <v/>
      </c>
    </row>
    <row r="62" spans="1:6">
      <c r="A62" s="6">
        <f>参数说明!$B$8+58</f>
        <v>46255</v>
      </c>
      <c r="B62" s="4">
        <v>58</v>
      </c>
      <c r="C62" s="4">
        <f>IF(B62=0,0,IF(B62&lt;=7,FORECAST(B62,参数说明!$B$24:$B$25,参数说明!$A$24:$A$25),IF(B62&lt;=30,FORECAST(B62,参数说明!$B$25:$B$26,参数说明!$A$25:$A$26),IF(B62&lt;=60,FORECAST(B62,参数说明!$B$26:$B$27,参数说明!$A$26:$A$27),IF(B62&lt;=90,FORECAST(B62,参数说明!$B$27:$B$28,参数说明!$A$27:$A$28),IF(B62&lt;=180,FORECAST(B62,参数说明!$B$28:$B$29,参数说明!$A$28:$A$29),FORECAST(B62,参数说明!$B$29:$B$30,参数说明!$A$29:$A$30)))))))</f>
        <v>54.3333333333333</v>
      </c>
      <c r="D62" s="4">
        <f t="shared" si="1"/>
        <v>2547.83333333333</v>
      </c>
      <c r="E62" s="4">
        <f>IF(D62&lt;'等级-经验对照'!$B$4,0,LOOKUP(D62,'等级-经验对照'!$B$4:$B$103,'等级-经验对照'!$A$4:$A$103))</f>
        <v>36</v>
      </c>
      <c r="F62" s="3" t="str">
        <f t="shared" si="0"/>
        <v/>
      </c>
    </row>
    <row r="63" spans="1:6">
      <c r="A63" s="6">
        <f>参数说明!$B$8+59</f>
        <v>46256</v>
      </c>
      <c r="B63" s="4">
        <v>59</v>
      </c>
      <c r="C63" s="4">
        <f>IF(B63=0,0,IF(B63&lt;=7,FORECAST(B63,参数说明!$B$24:$B$25,参数说明!$A$24:$A$25),IF(B63&lt;=30,FORECAST(B63,参数说明!$B$25:$B$26,参数说明!$A$25:$A$26),IF(B63&lt;=60,FORECAST(B63,参数说明!$B$26:$B$27,参数说明!$A$26:$A$27),IF(B63&lt;=90,FORECAST(B63,参数说明!$B$27:$B$28,参数说明!$A$27:$A$28),IF(B63&lt;=180,FORECAST(B63,参数说明!$B$28:$B$29,参数说明!$A$28:$A$29),FORECAST(B63,参数说明!$B$29:$B$30,参数说明!$A$29:$A$30)))))))</f>
        <v>54.6666666666667</v>
      </c>
      <c r="D63" s="4">
        <f t="shared" si="1"/>
        <v>2602.5</v>
      </c>
      <c r="E63" s="4">
        <f>IF(D63&lt;'等级-经验对照'!$B$4,0,LOOKUP(D63,'等级-经验对照'!$B$4:$B$103,'等级-经验对照'!$A$4:$A$103))</f>
        <v>36</v>
      </c>
      <c r="F63" s="3" t="str">
        <f t="shared" si="0"/>
        <v/>
      </c>
    </row>
    <row r="64" spans="1:6">
      <c r="A64" s="6">
        <f>参数说明!$B$8+60</f>
        <v>46257</v>
      </c>
      <c r="B64" s="4">
        <v>60</v>
      </c>
      <c r="C64" s="4">
        <f>IF(B64=0,0,IF(B64&lt;=7,FORECAST(B64,参数说明!$B$24:$B$25,参数说明!$A$24:$A$25),IF(B64&lt;=30,FORECAST(B64,参数说明!$B$25:$B$26,参数说明!$A$25:$A$26),IF(B64&lt;=60,FORECAST(B64,参数说明!$B$26:$B$27,参数说明!$A$26:$A$27),IF(B64&lt;=90,FORECAST(B64,参数说明!$B$27:$B$28,参数说明!$A$27:$A$28),IF(B64&lt;=180,FORECAST(B64,参数说明!$B$28:$B$29,参数说明!$A$28:$A$29),FORECAST(B64,参数说明!$B$29:$B$30,参数说明!$A$29:$A$30)))))))</f>
        <v>55</v>
      </c>
      <c r="D64" s="4">
        <f t="shared" si="1"/>
        <v>2657.5</v>
      </c>
      <c r="E64" s="4">
        <f>IF(D64&lt;'等级-经验对照'!$B$4,0,LOOKUP(D64,'等级-经验对照'!$B$4:$B$103,'等级-经验对照'!$A$4:$A$103))</f>
        <v>37</v>
      </c>
      <c r="F64" s="3" t="str">
        <f t="shared" si="0"/>
        <v>D60 / Lv37 / 2658 XP</v>
      </c>
    </row>
    <row r="65" spans="1:6">
      <c r="A65" s="6">
        <f>参数说明!$B$8+61</f>
        <v>46258</v>
      </c>
      <c r="B65" s="4">
        <v>61</v>
      </c>
      <c r="C65" s="4">
        <f>IF(B65=0,0,IF(B65&lt;=7,FORECAST(B65,参数说明!$B$24:$B$25,参数说明!$A$24:$A$25),IF(B65&lt;=30,FORECAST(B65,参数说明!$B$25:$B$26,参数说明!$A$25:$A$26),IF(B65&lt;=60,FORECAST(B65,参数说明!$B$26:$B$27,参数说明!$A$26:$A$27),IF(B65&lt;=90,FORECAST(B65,参数说明!$B$27:$B$28,参数说明!$A$27:$A$28),IF(B65&lt;=180,FORECAST(B65,参数说明!$B$28:$B$29,参数说明!$A$28:$A$29),FORECAST(B65,参数说明!$B$29:$B$30,参数说明!$A$29:$A$30)))))))</f>
        <v>55.3333333333333</v>
      </c>
      <c r="D65" s="4">
        <f t="shared" si="1"/>
        <v>2712.83333333333</v>
      </c>
      <c r="E65" s="4">
        <f>IF(D65&lt;'等级-经验对照'!$B$4,0,LOOKUP(D65,'等级-经验对照'!$B$4:$B$103,'等级-经验对照'!$A$4:$A$103))</f>
        <v>37</v>
      </c>
      <c r="F65" s="3" t="str">
        <f t="shared" si="0"/>
        <v/>
      </c>
    </row>
    <row r="66" spans="1:6">
      <c r="A66" s="6">
        <f>参数说明!$B$8+62</f>
        <v>46259</v>
      </c>
      <c r="B66" s="4">
        <v>62</v>
      </c>
      <c r="C66" s="4">
        <f>IF(B66=0,0,IF(B66&lt;=7,FORECAST(B66,参数说明!$B$24:$B$25,参数说明!$A$24:$A$25),IF(B66&lt;=30,FORECAST(B66,参数说明!$B$25:$B$26,参数说明!$A$25:$A$26),IF(B66&lt;=60,FORECAST(B66,参数说明!$B$26:$B$27,参数说明!$A$26:$A$27),IF(B66&lt;=90,FORECAST(B66,参数说明!$B$27:$B$28,参数说明!$A$27:$A$28),IF(B66&lt;=180,FORECAST(B66,参数说明!$B$28:$B$29,参数说明!$A$28:$A$29),FORECAST(B66,参数说明!$B$29:$B$30,参数说明!$A$29:$A$30)))))))</f>
        <v>55.6666666666667</v>
      </c>
      <c r="D66" s="4">
        <f t="shared" si="1"/>
        <v>2768.5</v>
      </c>
      <c r="E66" s="4">
        <f>IF(D66&lt;'等级-经验对照'!$B$4,0,LOOKUP(D66,'等级-经验对照'!$B$4:$B$103,'等级-经验对照'!$A$4:$A$103))</f>
        <v>37</v>
      </c>
      <c r="F66" s="3" t="str">
        <f t="shared" si="0"/>
        <v/>
      </c>
    </row>
    <row r="67" spans="1:6">
      <c r="A67" s="6">
        <f>参数说明!$B$8+63</f>
        <v>46260</v>
      </c>
      <c r="B67" s="4">
        <v>63</v>
      </c>
      <c r="C67" s="4">
        <f>IF(B67=0,0,IF(B67&lt;=7,FORECAST(B67,参数说明!$B$24:$B$25,参数说明!$A$24:$A$25),IF(B67&lt;=30,FORECAST(B67,参数说明!$B$25:$B$26,参数说明!$A$25:$A$26),IF(B67&lt;=60,FORECAST(B67,参数说明!$B$26:$B$27,参数说明!$A$26:$A$27),IF(B67&lt;=90,FORECAST(B67,参数说明!$B$27:$B$28,参数说明!$A$27:$A$28),IF(B67&lt;=180,FORECAST(B67,参数说明!$B$28:$B$29,参数说明!$A$28:$A$29),FORECAST(B67,参数说明!$B$29:$B$30,参数说明!$A$29:$A$30)))))))</f>
        <v>56</v>
      </c>
      <c r="D67" s="4">
        <f t="shared" si="1"/>
        <v>2824.5</v>
      </c>
      <c r="E67" s="4">
        <f>IF(D67&lt;'等级-经验对照'!$B$4,0,LOOKUP(D67,'等级-经验对照'!$B$4:$B$103,'等级-经验对照'!$A$4:$A$103))</f>
        <v>37</v>
      </c>
      <c r="F67" s="3" t="str">
        <f t="shared" si="0"/>
        <v/>
      </c>
    </row>
    <row r="68" spans="1:6">
      <c r="A68" s="6">
        <f>参数说明!$B$8+64</f>
        <v>46261</v>
      </c>
      <c r="B68" s="4">
        <v>64</v>
      </c>
      <c r="C68" s="4">
        <f>IF(B68=0,0,IF(B68&lt;=7,FORECAST(B68,参数说明!$B$24:$B$25,参数说明!$A$24:$A$25),IF(B68&lt;=30,FORECAST(B68,参数说明!$B$25:$B$26,参数说明!$A$25:$A$26),IF(B68&lt;=60,FORECAST(B68,参数说明!$B$26:$B$27,参数说明!$A$26:$A$27),IF(B68&lt;=90,FORECAST(B68,参数说明!$B$27:$B$28,参数说明!$A$27:$A$28),IF(B68&lt;=180,FORECAST(B68,参数说明!$B$28:$B$29,参数说明!$A$28:$A$29),FORECAST(B68,参数说明!$B$29:$B$30,参数说明!$A$29:$A$30)))))))</f>
        <v>56.3333333333333</v>
      </c>
      <c r="D68" s="4">
        <f t="shared" si="1"/>
        <v>2880.83333333333</v>
      </c>
      <c r="E68" s="4">
        <f>IF(D68&lt;'等级-经验对照'!$B$4,0,LOOKUP(D68,'等级-经验对照'!$B$4:$B$103,'等级-经验对照'!$A$4:$A$103))</f>
        <v>38</v>
      </c>
      <c r="F68" s="3" t="str">
        <f t="shared" ref="F68:F131" si="2">IF(OR(B68=1,B68=7,B68=30,B68=60,B68=90,B68=180,B68=365),"D"&amp;B68&amp;" / Lv"&amp;E68&amp;" / "&amp;ROUND(D68,0)&amp;" XP","")</f>
        <v/>
      </c>
    </row>
    <row r="69" spans="1:6">
      <c r="A69" s="6">
        <f>参数说明!$B$8+65</f>
        <v>46262</v>
      </c>
      <c r="B69" s="4">
        <v>65</v>
      </c>
      <c r="C69" s="4">
        <f>IF(B69=0,0,IF(B69&lt;=7,FORECAST(B69,参数说明!$B$24:$B$25,参数说明!$A$24:$A$25),IF(B69&lt;=30,FORECAST(B69,参数说明!$B$25:$B$26,参数说明!$A$25:$A$26),IF(B69&lt;=60,FORECAST(B69,参数说明!$B$26:$B$27,参数说明!$A$26:$A$27),IF(B69&lt;=90,FORECAST(B69,参数说明!$B$27:$B$28,参数说明!$A$27:$A$28),IF(B69&lt;=180,FORECAST(B69,参数说明!$B$28:$B$29,参数说明!$A$28:$A$29),FORECAST(B69,参数说明!$B$29:$B$30,参数说明!$A$29:$A$30)))))))</f>
        <v>56.6666666666667</v>
      </c>
      <c r="D69" s="4">
        <f t="shared" ref="D69:D132" si="3">D68+C69</f>
        <v>2937.5</v>
      </c>
      <c r="E69" s="4">
        <f>IF(D69&lt;'等级-经验对照'!$B$4,0,LOOKUP(D69,'等级-经验对照'!$B$4:$B$103,'等级-经验对照'!$A$4:$A$103))</f>
        <v>38</v>
      </c>
      <c r="F69" s="3" t="str">
        <f t="shared" si="2"/>
        <v/>
      </c>
    </row>
    <row r="70" spans="1:6">
      <c r="A70" s="6">
        <f>参数说明!$B$8+66</f>
        <v>46263</v>
      </c>
      <c r="B70" s="4">
        <v>66</v>
      </c>
      <c r="C70" s="4">
        <f>IF(B70=0,0,IF(B70&lt;=7,FORECAST(B70,参数说明!$B$24:$B$25,参数说明!$A$24:$A$25),IF(B70&lt;=30,FORECAST(B70,参数说明!$B$25:$B$26,参数说明!$A$25:$A$26),IF(B70&lt;=60,FORECAST(B70,参数说明!$B$26:$B$27,参数说明!$A$26:$A$27),IF(B70&lt;=90,FORECAST(B70,参数说明!$B$27:$B$28,参数说明!$A$27:$A$28),IF(B70&lt;=180,FORECAST(B70,参数说明!$B$28:$B$29,参数说明!$A$28:$A$29),FORECAST(B70,参数说明!$B$29:$B$30,参数说明!$A$29:$A$30)))))))</f>
        <v>57</v>
      </c>
      <c r="D70" s="4">
        <f t="shared" si="3"/>
        <v>2994.5</v>
      </c>
      <c r="E70" s="4">
        <f>IF(D70&lt;'等级-经验对照'!$B$4,0,LOOKUP(D70,'等级-经验对照'!$B$4:$B$103,'等级-经验对照'!$A$4:$A$103))</f>
        <v>38</v>
      </c>
      <c r="F70" s="3" t="str">
        <f t="shared" si="2"/>
        <v/>
      </c>
    </row>
    <row r="71" spans="1:6">
      <c r="A71" s="6">
        <f>参数说明!$B$8+67</f>
        <v>46264</v>
      </c>
      <c r="B71" s="4">
        <v>67</v>
      </c>
      <c r="C71" s="4">
        <f>IF(B71=0,0,IF(B71&lt;=7,FORECAST(B71,参数说明!$B$24:$B$25,参数说明!$A$24:$A$25),IF(B71&lt;=30,FORECAST(B71,参数说明!$B$25:$B$26,参数说明!$A$25:$A$26),IF(B71&lt;=60,FORECAST(B71,参数说明!$B$26:$B$27,参数说明!$A$26:$A$27),IF(B71&lt;=90,FORECAST(B71,参数说明!$B$27:$B$28,参数说明!$A$27:$A$28),IF(B71&lt;=180,FORECAST(B71,参数说明!$B$28:$B$29,参数说明!$A$28:$A$29),FORECAST(B71,参数说明!$B$29:$B$30,参数说明!$A$29:$A$30)))))))</f>
        <v>57.3333333333333</v>
      </c>
      <c r="D71" s="4">
        <f t="shared" si="3"/>
        <v>3051.83333333333</v>
      </c>
      <c r="E71" s="4">
        <f>IF(D71&lt;'等级-经验对照'!$B$4,0,LOOKUP(D71,'等级-经验对照'!$B$4:$B$103,'等级-经验对照'!$A$4:$A$103))</f>
        <v>38</v>
      </c>
      <c r="F71" s="3" t="str">
        <f t="shared" si="2"/>
        <v/>
      </c>
    </row>
    <row r="72" spans="1:6">
      <c r="A72" s="6">
        <f>参数说明!$B$8+68</f>
        <v>46265</v>
      </c>
      <c r="B72" s="4">
        <v>68</v>
      </c>
      <c r="C72" s="4">
        <f>IF(B72=0,0,IF(B72&lt;=7,FORECAST(B72,参数说明!$B$24:$B$25,参数说明!$A$24:$A$25),IF(B72&lt;=30,FORECAST(B72,参数说明!$B$25:$B$26,参数说明!$A$25:$A$26),IF(B72&lt;=60,FORECAST(B72,参数说明!$B$26:$B$27,参数说明!$A$26:$A$27),IF(B72&lt;=90,FORECAST(B72,参数说明!$B$27:$B$28,参数说明!$A$27:$A$28),IF(B72&lt;=180,FORECAST(B72,参数说明!$B$28:$B$29,参数说明!$A$28:$A$29),FORECAST(B72,参数说明!$B$29:$B$30,参数说明!$A$29:$A$30)))))))</f>
        <v>57.6666666666667</v>
      </c>
      <c r="D72" s="4">
        <f t="shared" si="3"/>
        <v>3109.5</v>
      </c>
      <c r="E72" s="4">
        <f>IF(D72&lt;'等级-经验对照'!$B$4,0,LOOKUP(D72,'等级-经验对照'!$B$4:$B$103,'等级-经验对照'!$A$4:$A$103))</f>
        <v>39</v>
      </c>
      <c r="F72" s="3" t="str">
        <f t="shared" si="2"/>
        <v/>
      </c>
    </row>
    <row r="73" spans="1:6">
      <c r="A73" s="6">
        <f>参数说明!$B$8+69</f>
        <v>46266</v>
      </c>
      <c r="B73" s="4">
        <v>69</v>
      </c>
      <c r="C73" s="4">
        <f>IF(B73=0,0,IF(B73&lt;=7,FORECAST(B73,参数说明!$B$24:$B$25,参数说明!$A$24:$A$25),IF(B73&lt;=30,FORECAST(B73,参数说明!$B$25:$B$26,参数说明!$A$25:$A$26),IF(B73&lt;=60,FORECAST(B73,参数说明!$B$26:$B$27,参数说明!$A$26:$A$27),IF(B73&lt;=90,FORECAST(B73,参数说明!$B$27:$B$28,参数说明!$A$27:$A$28),IF(B73&lt;=180,FORECAST(B73,参数说明!$B$28:$B$29,参数说明!$A$28:$A$29),FORECAST(B73,参数说明!$B$29:$B$30,参数说明!$A$29:$A$30)))))))</f>
        <v>58</v>
      </c>
      <c r="D73" s="4">
        <f t="shared" si="3"/>
        <v>3167.5</v>
      </c>
      <c r="E73" s="4">
        <f>IF(D73&lt;'等级-经验对照'!$B$4,0,LOOKUP(D73,'等级-经验对照'!$B$4:$B$103,'等级-经验对照'!$A$4:$A$103))</f>
        <v>39</v>
      </c>
      <c r="F73" s="3" t="str">
        <f t="shared" si="2"/>
        <v/>
      </c>
    </row>
    <row r="74" spans="1:6">
      <c r="A74" s="6">
        <f>参数说明!$B$8+70</f>
        <v>46267</v>
      </c>
      <c r="B74" s="4">
        <v>70</v>
      </c>
      <c r="C74" s="4">
        <f>IF(B74=0,0,IF(B74&lt;=7,FORECAST(B74,参数说明!$B$24:$B$25,参数说明!$A$24:$A$25),IF(B74&lt;=30,FORECAST(B74,参数说明!$B$25:$B$26,参数说明!$A$25:$A$26),IF(B74&lt;=60,FORECAST(B74,参数说明!$B$26:$B$27,参数说明!$A$26:$A$27),IF(B74&lt;=90,FORECAST(B74,参数说明!$B$27:$B$28,参数说明!$A$27:$A$28),IF(B74&lt;=180,FORECAST(B74,参数说明!$B$28:$B$29,参数说明!$A$28:$A$29),FORECAST(B74,参数说明!$B$29:$B$30,参数说明!$A$29:$A$30)))))))</f>
        <v>58.3333333333333</v>
      </c>
      <c r="D74" s="4">
        <f t="shared" si="3"/>
        <v>3225.83333333333</v>
      </c>
      <c r="E74" s="4">
        <f>IF(D74&lt;'等级-经验对照'!$B$4,0,LOOKUP(D74,'等级-经验对照'!$B$4:$B$103,'等级-经验对照'!$A$4:$A$103))</f>
        <v>39</v>
      </c>
      <c r="F74" s="3" t="str">
        <f t="shared" si="2"/>
        <v/>
      </c>
    </row>
    <row r="75" spans="1:6">
      <c r="A75" s="6">
        <f>参数说明!$B$8+71</f>
        <v>46268</v>
      </c>
      <c r="B75" s="4">
        <v>71</v>
      </c>
      <c r="C75" s="4">
        <f>IF(B75=0,0,IF(B75&lt;=7,FORECAST(B75,参数说明!$B$24:$B$25,参数说明!$A$24:$A$25),IF(B75&lt;=30,FORECAST(B75,参数说明!$B$25:$B$26,参数说明!$A$25:$A$26),IF(B75&lt;=60,FORECAST(B75,参数说明!$B$26:$B$27,参数说明!$A$26:$A$27),IF(B75&lt;=90,FORECAST(B75,参数说明!$B$27:$B$28,参数说明!$A$27:$A$28),IF(B75&lt;=180,FORECAST(B75,参数说明!$B$28:$B$29,参数说明!$A$28:$A$29),FORECAST(B75,参数说明!$B$29:$B$30,参数说明!$A$29:$A$30)))))))</f>
        <v>58.6666666666667</v>
      </c>
      <c r="D75" s="4">
        <f t="shared" si="3"/>
        <v>3284.5</v>
      </c>
      <c r="E75" s="4">
        <f>IF(D75&lt;'等级-经验对照'!$B$4,0,LOOKUP(D75,'等级-经验对照'!$B$4:$B$103,'等级-经验对照'!$A$4:$A$103))</f>
        <v>39</v>
      </c>
      <c r="F75" s="3" t="str">
        <f t="shared" si="2"/>
        <v/>
      </c>
    </row>
    <row r="76" spans="1:6">
      <c r="A76" s="6">
        <f>参数说明!$B$8+72</f>
        <v>46269</v>
      </c>
      <c r="B76" s="4">
        <v>72</v>
      </c>
      <c r="C76" s="4">
        <f>IF(B76=0,0,IF(B76&lt;=7,FORECAST(B76,参数说明!$B$24:$B$25,参数说明!$A$24:$A$25),IF(B76&lt;=30,FORECAST(B76,参数说明!$B$25:$B$26,参数说明!$A$25:$A$26),IF(B76&lt;=60,FORECAST(B76,参数说明!$B$26:$B$27,参数说明!$A$26:$A$27),IF(B76&lt;=90,FORECAST(B76,参数说明!$B$27:$B$28,参数说明!$A$27:$A$28),IF(B76&lt;=180,FORECAST(B76,参数说明!$B$28:$B$29,参数说明!$A$28:$A$29),FORECAST(B76,参数说明!$B$29:$B$30,参数说明!$A$29:$A$30)))))))</f>
        <v>59</v>
      </c>
      <c r="D76" s="4">
        <f t="shared" si="3"/>
        <v>3343.5</v>
      </c>
      <c r="E76" s="4">
        <f>IF(D76&lt;'等级-经验对照'!$B$4,0,LOOKUP(D76,'等级-经验对照'!$B$4:$B$103,'等级-经验对照'!$A$4:$A$103))</f>
        <v>40</v>
      </c>
      <c r="F76" s="3" t="str">
        <f t="shared" si="2"/>
        <v/>
      </c>
    </row>
    <row r="77" spans="1:6">
      <c r="A77" s="6">
        <f>参数说明!$B$8+73</f>
        <v>46270</v>
      </c>
      <c r="B77" s="4">
        <v>73</v>
      </c>
      <c r="C77" s="4">
        <f>IF(B77=0,0,IF(B77&lt;=7,FORECAST(B77,参数说明!$B$24:$B$25,参数说明!$A$24:$A$25),IF(B77&lt;=30,FORECAST(B77,参数说明!$B$25:$B$26,参数说明!$A$25:$A$26),IF(B77&lt;=60,FORECAST(B77,参数说明!$B$26:$B$27,参数说明!$A$26:$A$27),IF(B77&lt;=90,FORECAST(B77,参数说明!$B$27:$B$28,参数说明!$A$27:$A$28),IF(B77&lt;=180,FORECAST(B77,参数说明!$B$28:$B$29,参数说明!$A$28:$A$29),FORECAST(B77,参数说明!$B$29:$B$30,参数说明!$A$29:$A$30)))))))</f>
        <v>59.3333333333333</v>
      </c>
      <c r="D77" s="4">
        <f t="shared" si="3"/>
        <v>3402.83333333333</v>
      </c>
      <c r="E77" s="4">
        <f>IF(D77&lt;'等级-经验对照'!$B$4,0,LOOKUP(D77,'等级-经验对照'!$B$4:$B$103,'等级-经验对照'!$A$4:$A$103))</f>
        <v>40</v>
      </c>
      <c r="F77" s="3" t="str">
        <f t="shared" si="2"/>
        <v/>
      </c>
    </row>
    <row r="78" spans="1:6">
      <c r="A78" s="6">
        <f>参数说明!$B$8+74</f>
        <v>46271</v>
      </c>
      <c r="B78" s="4">
        <v>74</v>
      </c>
      <c r="C78" s="4">
        <f>IF(B78=0,0,IF(B78&lt;=7,FORECAST(B78,参数说明!$B$24:$B$25,参数说明!$A$24:$A$25),IF(B78&lt;=30,FORECAST(B78,参数说明!$B$25:$B$26,参数说明!$A$25:$A$26),IF(B78&lt;=60,FORECAST(B78,参数说明!$B$26:$B$27,参数说明!$A$26:$A$27),IF(B78&lt;=90,FORECAST(B78,参数说明!$B$27:$B$28,参数说明!$A$27:$A$28),IF(B78&lt;=180,FORECAST(B78,参数说明!$B$28:$B$29,参数说明!$A$28:$A$29),FORECAST(B78,参数说明!$B$29:$B$30,参数说明!$A$29:$A$30)))))))</f>
        <v>59.6666666666667</v>
      </c>
      <c r="D78" s="4">
        <f t="shared" si="3"/>
        <v>3462.5</v>
      </c>
      <c r="E78" s="4">
        <f>IF(D78&lt;'等级-经验对照'!$B$4,0,LOOKUP(D78,'等级-经验对照'!$B$4:$B$103,'等级-经验对照'!$A$4:$A$103))</f>
        <v>40</v>
      </c>
      <c r="F78" s="3" t="str">
        <f t="shared" si="2"/>
        <v/>
      </c>
    </row>
    <row r="79" spans="1:6">
      <c r="A79" s="6">
        <f>参数说明!$B$8+75</f>
        <v>46272</v>
      </c>
      <c r="B79" s="4">
        <v>75</v>
      </c>
      <c r="C79" s="4">
        <f>IF(B79=0,0,IF(B79&lt;=7,FORECAST(B79,参数说明!$B$24:$B$25,参数说明!$A$24:$A$25),IF(B79&lt;=30,FORECAST(B79,参数说明!$B$25:$B$26,参数说明!$A$25:$A$26),IF(B79&lt;=60,FORECAST(B79,参数说明!$B$26:$B$27,参数说明!$A$26:$A$27),IF(B79&lt;=90,FORECAST(B79,参数说明!$B$27:$B$28,参数说明!$A$27:$A$28),IF(B79&lt;=180,FORECAST(B79,参数说明!$B$28:$B$29,参数说明!$A$28:$A$29),FORECAST(B79,参数说明!$B$29:$B$30,参数说明!$A$29:$A$30)))))))</f>
        <v>60</v>
      </c>
      <c r="D79" s="4">
        <f t="shared" si="3"/>
        <v>3522.5</v>
      </c>
      <c r="E79" s="4">
        <f>IF(D79&lt;'等级-经验对照'!$B$4,0,LOOKUP(D79,'等级-经验对照'!$B$4:$B$103,'等级-经验对照'!$A$4:$A$103))</f>
        <v>40</v>
      </c>
      <c r="F79" s="3" t="str">
        <f t="shared" si="2"/>
        <v/>
      </c>
    </row>
    <row r="80" spans="1:6">
      <c r="A80" s="6">
        <f>参数说明!$B$8+76</f>
        <v>46273</v>
      </c>
      <c r="B80" s="4">
        <v>76</v>
      </c>
      <c r="C80" s="4">
        <f>IF(B80=0,0,IF(B80&lt;=7,FORECAST(B80,参数说明!$B$24:$B$25,参数说明!$A$24:$A$25),IF(B80&lt;=30,FORECAST(B80,参数说明!$B$25:$B$26,参数说明!$A$25:$A$26),IF(B80&lt;=60,FORECAST(B80,参数说明!$B$26:$B$27,参数说明!$A$26:$A$27),IF(B80&lt;=90,FORECAST(B80,参数说明!$B$27:$B$28,参数说明!$A$27:$A$28),IF(B80&lt;=180,FORECAST(B80,参数说明!$B$28:$B$29,参数说明!$A$28:$A$29),FORECAST(B80,参数说明!$B$29:$B$30,参数说明!$A$29:$A$30)))))))</f>
        <v>60.3333333333333</v>
      </c>
      <c r="D80" s="4">
        <f t="shared" si="3"/>
        <v>3582.83333333333</v>
      </c>
      <c r="E80" s="4">
        <f>IF(D80&lt;'等级-经验对照'!$B$4,0,LOOKUP(D80,'等级-经验对照'!$B$4:$B$103,'等级-经验对照'!$A$4:$A$103))</f>
        <v>41</v>
      </c>
      <c r="F80" s="3" t="str">
        <f t="shared" si="2"/>
        <v/>
      </c>
    </row>
    <row r="81" spans="1:6">
      <c r="A81" s="6">
        <f>参数说明!$B$8+77</f>
        <v>46274</v>
      </c>
      <c r="B81" s="4">
        <v>77</v>
      </c>
      <c r="C81" s="4">
        <f>IF(B81=0,0,IF(B81&lt;=7,FORECAST(B81,参数说明!$B$24:$B$25,参数说明!$A$24:$A$25),IF(B81&lt;=30,FORECAST(B81,参数说明!$B$25:$B$26,参数说明!$A$25:$A$26),IF(B81&lt;=60,FORECAST(B81,参数说明!$B$26:$B$27,参数说明!$A$26:$A$27),IF(B81&lt;=90,FORECAST(B81,参数说明!$B$27:$B$28,参数说明!$A$27:$A$28),IF(B81&lt;=180,FORECAST(B81,参数说明!$B$28:$B$29,参数说明!$A$28:$A$29),FORECAST(B81,参数说明!$B$29:$B$30,参数说明!$A$29:$A$30)))))))</f>
        <v>60.6666666666667</v>
      </c>
      <c r="D81" s="4">
        <f t="shared" si="3"/>
        <v>3643.5</v>
      </c>
      <c r="E81" s="4">
        <f>IF(D81&lt;'等级-经验对照'!$B$4,0,LOOKUP(D81,'等级-经验对照'!$B$4:$B$103,'等级-经验对照'!$A$4:$A$103))</f>
        <v>41</v>
      </c>
      <c r="F81" s="3" t="str">
        <f t="shared" si="2"/>
        <v/>
      </c>
    </row>
    <row r="82" spans="1:6">
      <c r="A82" s="6">
        <f>参数说明!$B$8+78</f>
        <v>46275</v>
      </c>
      <c r="B82" s="4">
        <v>78</v>
      </c>
      <c r="C82" s="4">
        <f>IF(B82=0,0,IF(B82&lt;=7,FORECAST(B82,参数说明!$B$24:$B$25,参数说明!$A$24:$A$25),IF(B82&lt;=30,FORECAST(B82,参数说明!$B$25:$B$26,参数说明!$A$25:$A$26),IF(B82&lt;=60,FORECAST(B82,参数说明!$B$26:$B$27,参数说明!$A$26:$A$27),IF(B82&lt;=90,FORECAST(B82,参数说明!$B$27:$B$28,参数说明!$A$27:$A$28),IF(B82&lt;=180,FORECAST(B82,参数说明!$B$28:$B$29,参数说明!$A$28:$A$29),FORECAST(B82,参数说明!$B$29:$B$30,参数说明!$A$29:$A$30)))))))</f>
        <v>61</v>
      </c>
      <c r="D82" s="4">
        <f t="shared" si="3"/>
        <v>3704.5</v>
      </c>
      <c r="E82" s="4">
        <f>IF(D82&lt;'等级-经验对照'!$B$4,0,LOOKUP(D82,'等级-经验对照'!$B$4:$B$103,'等级-经验对照'!$A$4:$A$103))</f>
        <v>41</v>
      </c>
      <c r="F82" s="3" t="str">
        <f t="shared" si="2"/>
        <v/>
      </c>
    </row>
    <row r="83" spans="1:6">
      <c r="A83" s="6">
        <f>参数说明!$B$8+79</f>
        <v>46276</v>
      </c>
      <c r="B83" s="4">
        <v>79</v>
      </c>
      <c r="C83" s="4">
        <f>IF(B83=0,0,IF(B83&lt;=7,FORECAST(B83,参数说明!$B$24:$B$25,参数说明!$A$24:$A$25),IF(B83&lt;=30,FORECAST(B83,参数说明!$B$25:$B$26,参数说明!$A$25:$A$26),IF(B83&lt;=60,FORECAST(B83,参数说明!$B$26:$B$27,参数说明!$A$26:$A$27),IF(B83&lt;=90,FORECAST(B83,参数说明!$B$27:$B$28,参数说明!$A$27:$A$28),IF(B83&lt;=180,FORECAST(B83,参数说明!$B$28:$B$29,参数说明!$A$28:$A$29),FORECAST(B83,参数说明!$B$29:$B$30,参数说明!$A$29:$A$30)))))))</f>
        <v>61.3333333333333</v>
      </c>
      <c r="D83" s="4">
        <f t="shared" si="3"/>
        <v>3765.83333333333</v>
      </c>
      <c r="E83" s="4">
        <f>IF(D83&lt;'等级-经验对照'!$B$4,0,LOOKUP(D83,'等级-经验对照'!$B$4:$B$103,'等级-经验对照'!$A$4:$A$103))</f>
        <v>41</v>
      </c>
      <c r="F83" s="3" t="str">
        <f t="shared" si="2"/>
        <v/>
      </c>
    </row>
    <row r="84" spans="1:6">
      <c r="A84" s="6">
        <f>参数说明!$B$8+80</f>
        <v>46277</v>
      </c>
      <c r="B84" s="4">
        <v>80</v>
      </c>
      <c r="C84" s="4">
        <f>IF(B84=0,0,IF(B84&lt;=7,FORECAST(B84,参数说明!$B$24:$B$25,参数说明!$A$24:$A$25),IF(B84&lt;=30,FORECAST(B84,参数说明!$B$25:$B$26,参数说明!$A$25:$A$26),IF(B84&lt;=60,FORECAST(B84,参数说明!$B$26:$B$27,参数说明!$A$26:$A$27),IF(B84&lt;=90,FORECAST(B84,参数说明!$B$27:$B$28,参数说明!$A$27:$A$28),IF(B84&lt;=180,FORECAST(B84,参数说明!$B$28:$B$29,参数说明!$A$28:$A$29),FORECAST(B84,参数说明!$B$29:$B$30,参数说明!$A$29:$A$30)))))))</f>
        <v>61.6666666666667</v>
      </c>
      <c r="D84" s="4">
        <f t="shared" si="3"/>
        <v>3827.5</v>
      </c>
      <c r="E84" s="4">
        <f>IF(D84&lt;'等级-经验对照'!$B$4,0,LOOKUP(D84,'等级-经验对照'!$B$4:$B$103,'等级-经验对照'!$A$4:$A$103))</f>
        <v>42</v>
      </c>
      <c r="F84" s="3" t="str">
        <f t="shared" si="2"/>
        <v/>
      </c>
    </row>
    <row r="85" spans="1:6">
      <c r="A85" s="6">
        <f>参数说明!$B$8+81</f>
        <v>46278</v>
      </c>
      <c r="B85" s="4">
        <v>81</v>
      </c>
      <c r="C85" s="4">
        <f>IF(B85=0,0,IF(B85&lt;=7,FORECAST(B85,参数说明!$B$24:$B$25,参数说明!$A$24:$A$25),IF(B85&lt;=30,FORECAST(B85,参数说明!$B$25:$B$26,参数说明!$A$25:$A$26),IF(B85&lt;=60,FORECAST(B85,参数说明!$B$26:$B$27,参数说明!$A$26:$A$27),IF(B85&lt;=90,FORECAST(B85,参数说明!$B$27:$B$28,参数说明!$A$27:$A$28),IF(B85&lt;=180,FORECAST(B85,参数说明!$B$28:$B$29,参数说明!$A$28:$A$29),FORECAST(B85,参数说明!$B$29:$B$30,参数说明!$A$29:$A$30)))))))</f>
        <v>62</v>
      </c>
      <c r="D85" s="4">
        <f t="shared" si="3"/>
        <v>3889.5</v>
      </c>
      <c r="E85" s="4">
        <f>IF(D85&lt;'等级-经验对照'!$B$4,0,LOOKUP(D85,'等级-经验对照'!$B$4:$B$103,'等级-经验对照'!$A$4:$A$103))</f>
        <v>42</v>
      </c>
      <c r="F85" s="3" t="str">
        <f t="shared" si="2"/>
        <v/>
      </c>
    </row>
    <row r="86" spans="1:6">
      <c r="A86" s="6">
        <f>参数说明!$B$8+82</f>
        <v>46279</v>
      </c>
      <c r="B86" s="4">
        <v>82</v>
      </c>
      <c r="C86" s="4">
        <f>IF(B86=0,0,IF(B86&lt;=7,FORECAST(B86,参数说明!$B$24:$B$25,参数说明!$A$24:$A$25),IF(B86&lt;=30,FORECAST(B86,参数说明!$B$25:$B$26,参数说明!$A$25:$A$26),IF(B86&lt;=60,FORECAST(B86,参数说明!$B$26:$B$27,参数说明!$A$26:$A$27),IF(B86&lt;=90,FORECAST(B86,参数说明!$B$27:$B$28,参数说明!$A$27:$A$28),IF(B86&lt;=180,FORECAST(B86,参数说明!$B$28:$B$29,参数说明!$A$28:$A$29),FORECAST(B86,参数说明!$B$29:$B$30,参数说明!$A$29:$A$30)))))))</f>
        <v>62.3333333333333</v>
      </c>
      <c r="D86" s="4">
        <f t="shared" si="3"/>
        <v>3951.83333333333</v>
      </c>
      <c r="E86" s="4">
        <f>IF(D86&lt;'等级-经验对照'!$B$4,0,LOOKUP(D86,'等级-经验对照'!$B$4:$B$103,'等级-经验对照'!$A$4:$A$103))</f>
        <v>42</v>
      </c>
      <c r="F86" s="3" t="str">
        <f t="shared" si="2"/>
        <v/>
      </c>
    </row>
    <row r="87" spans="1:6">
      <c r="A87" s="6">
        <f>参数说明!$B$8+83</f>
        <v>46280</v>
      </c>
      <c r="B87" s="4">
        <v>83</v>
      </c>
      <c r="C87" s="4">
        <f>IF(B87=0,0,IF(B87&lt;=7,FORECAST(B87,参数说明!$B$24:$B$25,参数说明!$A$24:$A$25),IF(B87&lt;=30,FORECAST(B87,参数说明!$B$25:$B$26,参数说明!$A$25:$A$26),IF(B87&lt;=60,FORECAST(B87,参数说明!$B$26:$B$27,参数说明!$A$26:$A$27),IF(B87&lt;=90,FORECAST(B87,参数说明!$B$27:$B$28,参数说明!$A$27:$A$28),IF(B87&lt;=180,FORECAST(B87,参数说明!$B$28:$B$29,参数说明!$A$28:$A$29),FORECAST(B87,参数说明!$B$29:$B$30,参数说明!$A$29:$A$30)))))))</f>
        <v>62.6666666666667</v>
      </c>
      <c r="D87" s="4">
        <f t="shared" si="3"/>
        <v>4014.5</v>
      </c>
      <c r="E87" s="4">
        <f>IF(D87&lt;'等级-经验对照'!$B$4,0,LOOKUP(D87,'等级-经验对照'!$B$4:$B$103,'等级-经验对照'!$A$4:$A$103))</f>
        <v>43</v>
      </c>
      <c r="F87" s="3" t="str">
        <f t="shared" si="2"/>
        <v/>
      </c>
    </row>
    <row r="88" spans="1:6">
      <c r="A88" s="6">
        <f>参数说明!$B$8+84</f>
        <v>46281</v>
      </c>
      <c r="B88" s="4">
        <v>84</v>
      </c>
      <c r="C88" s="4">
        <f>IF(B88=0,0,IF(B88&lt;=7,FORECAST(B88,参数说明!$B$24:$B$25,参数说明!$A$24:$A$25),IF(B88&lt;=30,FORECAST(B88,参数说明!$B$25:$B$26,参数说明!$A$25:$A$26),IF(B88&lt;=60,FORECAST(B88,参数说明!$B$26:$B$27,参数说明!$A$26:$A$27),IF(B88&lt;=90,FORECAST(B88,参数说明!$B$27:$B$28,参数说明!$A$27:$A$28),IF(B88&lt;=180,FORECAST(B88,参数说明!$B$28:$B$29,参数说明!$A$28:$A$29),FORECAST(B88,参数说明!$B$29:$B$30,参数说明!$A$29:$A$30)))))))</f>
        <v>63</v>
      </c>
      <c r="D88" s="4">
        <f t="shared" si="3"/>
        <v>4077.5</v>
      </c>
      <c r="E88" s="4">
        <f>IF(D88&lt;'等级-经验对照'!$B$4,0,LOOKUP(D88,'等级-经验对照'!$B$4:$B$103,'等级-经验对照'!$A$4:$A$103))</f>
        <v>43</v>
      </c>
      <c r="F88" s="3" t="str">
        <f t="shared" si="2"/>
        <v/>
      </c>
    </row>
    <row r="89" spans="1:6">
      <c r="A89" s="6">
        <f>参数说明!$B$8+85</f>
        <v>46282</v>
      </c>
      <c r="B89" s="4">
        <v>85</v>
      </c>
      <c r="C89" s="4">
        <f>IF(B89=0,0,IF(B89&lt;=7,FORECAST(B89,参数说明!$B$24:$B$25,参数说明!$A$24:$A$25),IF(B89&lt;=30,FORECAST(B89,参数说明!$B$25:$B$26,参数说明!$A$25:$A$26),IF(B89&lt;=60,FORECAST(B89,参数说明!$B$26:$B$27,参数说明!$A$26:$A$27),IF(B89&lt;=90,FORECAST(B89,参数说明!$B$27:$B$28,参数说明!$A$27:$A$28),IF(B89&lt;=180,FORECAST(B89,参数说明!$B$28:$B$29,参数说明!$A$28:$A$29),FORECAST(B89,参数说明!$B$29:$B$30,参数说明!$A$29:$A$30)))))))</f>
        <v>63.3333333333333</v>
      </c>
      <c r="D89" s="4">
        <f t="shared" si="3"/>
        <v>4140.83333333333</v>
      </c>
      <c r="E89" s="4">
        <f>IF(D89&lt;'等级-经验对照'!$B$4,0,LOOKUP(D89,'等级-经验对照'!$B$4:$B$103,'等级-经验对照'!$A$4:$A$103))</f>
        <v>43</v>
      </c>
      <c r="F89" s="3" t="str">
        <f t="shared" si="2"/>
        <v/>
      </c>
    </row>
    <row r="90" spans="1:6">
      <c r="A90" s="6">
        <f>参数说明!$B$8+86</f>
        <v>46283</v>
      </c>
      <c r="B90" s="4">
        <v>86</v>
      </c>
      <c r="C90" s="4">
        <f>IF(B90=0,0,IF(B90&lt;=7,FORECAST(B90,参数说明!$B$24:$B$25,参数说明!$A$24:$A$25),IF(B90&lt;=30,FORECAST(B90,参数说明!$B$25:$B$26,参数说明!$A$25:$A$26),IF(B90&lt;=60,FORECAST(B90,参数说明!$B$26:$B$27,参数说明!$A$26:$A$27),IF(B90&lt;=90,FORECAST(B90,参数说明!$B$27:$B$28,参数说明!$A$27:$A$28),IF(B90&lt;=180,FORECAST(B90,参数说明!$B$28:$B$29,参数说明!$A$28:$A$29),FORECAST(B90,参数说明!$B$29:$B$30,参数说明!$A$29:$A$30)))))))</f>
        <v>63.6666666666667</v>
      </c>
      <c r="D90" s="4">
        <f t="shared" si="3"/>
        <v>4204.5</v>
      </c>
      <c r="E90" s="4">
        <f>IF(D90&lt;'等级-经验对照'!$B$4,0,LOOKUP(D90,'等级-经验对照'!$B$4:$B$103,'等级-经验对照'!$A$4:$A$103))</f>
        <v>43</v>
      </c>
      <c r="F90" s="3" t="str">
        <f t="shared" si="2"/>
        <v/>
      </c>
    </row>
    <row r="91" spans="1:6">
      <c r="A91" s="6">
        <f>参数说明!$B$8+87</f>
        <v>46284</v>
      </c>
      <c r="B91" s="4">
        <v>87</v>
      </c>
      <c r="C91" s="4">
        <f>IF(B91=0,0,IF(B91&lt;=7,FORECAST(B91,参数说明!$B$24:$B$25,参数说明!$A$24:$A$25),IF(B91&lt;=30,FORECAST(B91,参数说明!$B$25:$B$26,参数说明!$A$25:$A$26),IF(B91&lt;=60,FORECAST(B91,参数说明!$B$26:$B$27,参数说明!$A$26:$A$27),IF(B91&lt;=90,FORECAST(B91,参数说明!$B$27:$B$28,参数说明!$A$27:$A$28),IF(B91&lt;=180,FORECAST(B91,参数说明!$B$28:$B$29,参数说明!$A$28:$A$29),FORECAST(B91,参数说明!$B$29:$B$30,参数说明!$A$29:$A$30)))))))</f>
        <v>64</v>
      </c>
      <c r="D91" s="4">
        <f t="shared" si="3"/>
        <v>4268.5</v>
      </c>
      <c r="E91" s="4">
        <f>IF(D91&lt;'等级-经验对照'!$B$4,0,LOOKUP(D91,'等级-经验对照'!$B$4:$B$103,'等级-经验对照'!$A$4:$A$103))</f>
        <v>44</v>
      </c>
      <c r="F91" s="3" t="str">
        <f t="shared" si="2"/>
        <v/>
      </c>
    </row>
    <row r="92" spans="1:6">
      <c r="A92" s="6">
        <f>参数说明!$B$8+88</f>
        <v>46285</v>
      </c>
      <c r="B92" s="4">
        <v>88</v>
      </c>
      <c r="C92" s="4">
        <f>IF(B92=0,0,IF(B92&lt;=7,FORECAST(B92,参数说明!$B$24:$B$25,参数说明!$A$24:$A$25),IF(B92&lt;=30,FORECAST(B92,参数说明!$B$25:$B$26,参数说明!$A$25:$A$26),IF(B92&lt;=60,FORECAST(B92,参数说明!$B$26:$B$27,参数说明!$A$26:$A$27),IF(B92&lt;=90,FORECAST(B92,参数说明!$B$27:$B$28,参数说明!$A$27:$A$28),IF(B92&lt;=180,FORECAST(B92,参数说明!$B$28:$B$29,参数说明!$A$28:$A$29),FORECAST(B92,参数说明!$B$29:$B$30,参数说明!$A$29:$A$30)))))))</f>
        <v>64.3333333333333</v>
      </c>
      <c r="D92" s="4">
        <f t="shared" si="3"/>
        <v>4332.83333333333</v>
      </c>
      <c r="E92" s="4">
        <f>IF(D92&lt;'等级-经验对照'!$B$4,0,LOOKUP(D92,'等级-经验对照'!$B$4:$B$103,'等级-经验对照'!$A$4:$A$103))</f>
        <v>44</v>
      </c>
      <c r="F92" s="3" t="str">
        <f t="shared" si="2"/>
        <v/>
      </c>
    </row>
    <row r="93" spans="1:6">
      <c r="A93" s="6">
        <f>参数说明!$B$8+89</f>
        <v>46286</v>
      </c>
      <c r="B93" s="4">
        <v>89</v>
      </c>
      <c r="C93" s="4">
        <f>IF(B93=0,0,IF(B93&lt;=7,FORECAST(B93,参数说明!$B$24:$B$25,参数说明!$A$24:$A$25),IF(B93&lt;=30,FORECAST(B93,参数说明!$B$25:$B$26,参数说明!$A$25:$A$26),IF(B93&lt;=60,FORECAST(B93,参数说明!$B$26:$B$27,参数说明!$A$26:$A$27),IF(B93&lt;=90,FORECAST(B93,参数说明!$B$27:$B$28,参数说明!$A$27:$A$28),IF(B93&lt;=180,FORECAST(B93,参数说明!$B$28:$B$29,参数说明!$A$28:$A$29),FORECAST(B93,参数说明!$B$29:$B$30,参数说明!$A$29:$A$30)))))))</f>
        <v>64.6666666666667</v>
      </c>
      <c r="D93" s="4">
        <f t="shared" si="3"/>
        <v>4397.5</v>
      </c>
      <c r="E93" s="4">
        <f>IF(D93&lt;'等级-经验对照'!$B$4,0,LOOKUP(D93,'等级-经验对照'!$B$4:$B$103,'等级-经验对照'!$A$4:$A$103))</f>
        <v>44</v>
      </c>
      <c r="F93" s="3" t="str">
        <f t="shared" si="2"/>
        <v/>
      </c>
    </row>
    <row r="94" spans="1:6">
      <c r="A94" s="6">
        <f>参数说明!$B$8+90</f>
        <v>46287</v>
      </c>
      <c r="B94" s="4">
        <v>90</v>
      </c>
      <c r="C94" s="4">
        <f>IF(B94=0,0,IF(B94&lt;=7,FORECAST(B94,参数说明!$B$24:$B$25,参数说明!$A$24:$A$25),IF(B94&lt;=30,FORECAST(B94,参数说明!$B$25:$B$26,参数说明!$A$25:$A$26),IF(B94&lt;=60,FORECAST(B94,参数说明!$B$26:$B$27,参数说明!$A$26:$A$27),IF(B94&lt;=90,FORECAST(B94,参数说明!$B$27:$B$28,参数说明!$A$27:$A$28),IF(B94&lt;=180,FORECAST(B94,参数说明!$B$28:$B$29,参数说明!$A$28:$A$29),FORECAST(B94,参数说明!$B$29:$B$30,参数说明!$A$29:$A$30)))))))</f>
        <v>65</v>
      </c>
      <c r="D94" s="4">
        <f t="shared" si="3"/>
        <v>4462.5</v>
      </c>
      <c r="E94" s="4">
        <f>IF(D94&lt;'等级-经验对照'!$B$4,0,LOOKUP(D94,'等级-经验对照'!$B$4:$B$103,'等级-经验对照'!$A$4:$A$103))</f>
        <v>45</v>
      </c>
      <c r="F94" s="3" t="str">
        <f t="shared" si="2"/>
        <v>D90 / Lv45 / 4463 XP</v>
      </c>
    </row>
    <row r="95" spans="1:6">
      <c r="A95" s="6">
        <f>参数说明!$B$8+91</f>
        <v>46288</v>
      </c>
      <c r="B95" s="4">
        <v>91</v>
      </c>
      <c r="C95" s="4">
        <f>IF(B95=0,0,IF(B95&lt;=7,FORECAST(B95,参数说明!$B$24:$B$25,参数说明!$A$24:$A$25),IF(B95&lt;=30,FORECAST(B95,参数说明!$B$25:$B$26,参数说明!$A$25:$A$26),IF(B95&lt;=60,FORECAST(B95,参数说明!$B$26:$B$27,参数说明!$A$26:$A$27),IF(B95&lt;=90,FORECAST(B95,参数说明!$B$27:$B$28,参数说明!$A$27:$A$28),IF(B95&lt;=180,FORECAST(B95,参数说明!$B$28:$B$29,参数说明!$A$28:$A$29),FORECAST(B95,参数说明!$B$29:$B$30,参数说明!$A$29:$A$30)))))))</f>
        <v>65.1666666666667</v>
      </c>
      <c r="D95" s="4">
        <f t="shared" si="3"/>
        <v>4527.66666666667</v>
      </c>
      <c r="E95" s="4">
        <f>IF(D95&lt;'等级-经验对照'!$B$4,0,LOOKUP(D95,'等级-经验对照'!$B$4:$B$103,'等级-经验对照'!$A$4:$A$103))</f>
        <v>45</v>
      </c>
      <c r="F95" s="3" t="str">
        <f t="shared" si="2"/>
        <v/>
      </c>
    </row>
    <row r="96" spans="1:6">
      <c r="A96" s="6">
        <f>参数说明!$B$8+92</f>
        <v>46289</v>
      </c>
      <c r="B96" s="4">
        <v>92</v>
      </c>
      <c r="C96" s="4">
        <f>IF(B96=0,0,IF(B96&lt;=7,FORECAST(B96,参数说明!$B$24:$B$25,参数说明!$A$24:$A$25),IF(B96&lt;=30,FORECAST(B96,参数说明!$B$25:$B$26,参数说明!$A$25:$A$26),IF(B96&lt;=60,FORECAST(B96,参数说明!$B$26:$B$27,参数说明!$A$26:$A$27),IF(B96&lt;=90,FORECAST(B96,参数说明!$B$27:$B$28,参数说明!$A$27:$A$28),IF(B96&lt;=180,FORECAST(B96,参数说明!$B$28:$B$29,参数说明!$A$28:$A$29),FORECAST(B96,参数说明!$B$29:$B$30,参数说明!$A$29:$A$30)))))))</f>
        <v>65.3333333333333</v>
      </c>
      <c r="D96" s="4">
        <f t="shared" si="3"/>
        <v>4593</v>
      </c>
      <c r="E96" s="4">
        <f>IF(D96&lt;'等级-经验对照'!$B$4,0,LOOKUP(D96,'等级-经验对照'!$B$4:$B$103,'等级-经验对照'!$A$4:$A$103))</f>
        <v>45</v>
      </c>
      <c r="F96" s="3" t="str">
        <f t="shared" si="2"/>
        <v/>
      </c>
    </row>
    <row r="97" spans="1:6">
      <c r="A97" s="6">
        <f>参数说明!$B$8+93</f>
        <v>46290</v>
      </c>
      <c r="B97" s="4">
        <v>93</v>
      </c>
      <c r="C97" s="4">
        <f>IF(B97=0,0,IF(B97&lt;=7,FORECAST(B97,参数说明!$B$24:$B$25,参数说明!$A$24:$A$25),IF(B97&lt;=30,FORECAST(B97,参数说明!$B$25:$B$26,参数说明!$A$25:$A$26),IF(B97&lt;=60,FORECAST(B97,参数说明!$B$26:$B$27,参数说明!$A$26:$A$27),IF(B97&lt;=90,FORECAST(B97,参数说明!$B$27:$B$28,参数说明!$A$27:$A$28),IF(B97&lt;=180,FORECAST(B97,参数说明!$B$28:$B$29,参数说明!$A$28:$A$29),FORECAST(B97,参数说明!$B$29:$B$30,参数说明!$A$29:$A$30)))))))</f>
        <v>65.5</v>
      </c>
      <c r="D97" s="4">
        <f t="shared" si="3"/>
        <v>4658.5</v>
      </c>
      <c r="E97" s="4">
        <f>IF(D97&lt;'等级-经验对照'!$B$4,0,LOOKUP(D97,'等级-经验对照'!$B$4:$B$103,'等级-经验对照'!$A$4:$A$103))</f>
        <v>45</v>
      </c>
      <c r="F97" s="3" t="str">
        <f t="shared" si="2"/>
        <v/>
      </c>
    </row>
    <row r="98" spans="1:6">
      <c r="A98" s="6">
        <f>参数说明!$B$8+94</f>
        <v>46291</v>
      </c>
      <c r="B98" s="4">
        <v>94</v>
      </c>
      <c r="C98" s="4">
        <f>IF(B98=0,0,IF(B98&lt;=7,FORECAST(B98,参数说明!$B$24:$B$25,参数说明!$A$24:$A$25),IF(B98&lt;=30,FORECAST(B98,参数说明!$B$25:$B$26,参数说明!$A$25:$A$26),IF(B98&lt;=60,FORECAST(B98,参数说明!$B$26:$B$27,参数说明!$A$26:$A$27),IF(B98&lt;=90,FORECAST(B98,参数说明!$B$27:$B$28,参数说明!$A$27:$A$28),IF(B98&lt;=180,FORECAST(B98,参数说明!$B$28:$B$29,参数说明!$A$28:$A$29),FORECAST(B98,参数说明!$B$29:$B$30,参数说明!$A$29:$A$30)))))))</f>
        <v>65.6666666666667</v>
      </c>
      <c r="D98" s="4">
        <f t="shared" si="3"/>
        <v>4724.16666666667</v>
      </c>
      <c r="E98" s="4">
        <f>IF(D98&lt;'等级-经验对照'!$B$4,0,LOOKUP(D98,'等级-经验对照'!$B$4:$B$103,'等级-经验对照'!$A$4:$A$103))</f>
        <v>45</v>
      </c>
      <c r="F98" s="3" t="str">
        <f t="shared" si="2"/>
        <v/>
      </c>
    </row>
    <row r="99" spans="1:6">
      <c r="A99" s="6">
        <f>参数说明!$B$8+95</f>
        <v>46292</v>
      </c>
      <c r="B99" s="4">
        <v>95</v>
      </c>
      <c r="C99" s="4">
        <f>IF(B99=0,0,IF(B99&lt;=7,FORECAST(B99,参数说明!$B$24:$B$25,参数说明!$A$24:$A$25),IF(B99&lt;=30,FORECAST(B99,参数说明!$B$25:$B$26,参数说明!$A$25:$A$26),IF(B99&lt;=60,FORECAST(B99,参数说明!$B$26:$B$27,参数说明!$A$26:$A$27),IF(B99&lt;=90,FORECAST(B99,参数说明!$B$27:$B$28,参数说明!$A$27:$A$28),IF(B99&lt;=180,FORECAST(B99,参数说明!$B$28:$B$29,参数说明!$A$28:$A$29),FORECAST(B99,参数说明!$B$29:$B$30,参数说明!$A$29:$A$30)))))))</f>
        <v>65.8333333333333</v>
      </c>
      <c r="D99" s="4">
        <f t="shared" si="3"/>
        <v>4790</v>
      </c>
      <c r="E99" s="4">
        <f>IF(D99&lt;'等级-经验对照'!$B$4,0,LOOKUP(D99,'等级-经验对照'!$B$4:$B$103,'等级-经验对照'!$A$4:$A$103))</f>
        <v>46</v>
      </c>
      <c r="F99" s="3" t="str">
        <f t="shared" si="2"/>
        <v/>
      </c>
    </row>
    <row r="100" spans="1:6">
      <c r="A100" s="6">
        <f>参数说明!$B$8+96</f>
        <v>46293</v>
      </c>
      <c r="B100" s="4">
        <v>96</v>
      </c>
      <c r="C100" s="4">
        <f>IF(B100=0,0,IF(B100&lt;=7,FORECAST(B100,参数说明!$B$24:$B$25,参数说明!$A$24:$A$25),IF(B100&lt;=30,FORECAST(B100,参数说明!$B$25:$B$26,参数说明!$A$25:$A$26),IF(B100&lt;=60,FORECAST(B100,参数说明!$B$26:$B$27,参数说明!$A$26:$A$27),IF(B100&lt;=90,FORECAST(B100,参数说明!$B$27:$B$28,参数说明!$A$27:$A$28),IF(B100&lt;=180,FORECAST(B100,参数说明!$B$28:$B$29,参数说明!$A$28:$A$29),FORECAST(B100,参数说明!$B$29:$B$30,参数说明!$A$29:$A$30)))))))</f>
        <v>66</v>
      </c>
      <c r="D100" s="4">
        <f t="shared" si="3"/>
        <v>4856</v>
      </c>
      <c r="E100" s="4">
        <f>IF(D100&lt;'等级-经验对照'!$B$4,0,LOOKUP(D100,'等级-经验对照'!$B$4:$B$103,'等级-经验对照'!$A$4:$A$103))</f>
        <v>46</v>
      </c>
      <c r="F100" s="3" t="str">
        <f t="shared" si="2"/>
        <v/>
      </c>
    </row>
    <row r="101" spans="1:6">
      <c r="A101" s="6">
        <f>参数说明!$B$8+97</f>
        <v>46294</v>
      </c>
      <c r="B101" s="4">
        <v>97</v>
      </c>
      <c r="C101" s="4">
        <f>IF(B101=0,0,IF(B101&lt;=7,FORECAST(B101,参数说明!$B$24:$B$25,参数说明!$A$24:$A$25),IF(B101&lt;=30,FORECAST(B101,参数说明!$B$25:$B$26,参数说明!$A$25:$A$26),IF(B101&lt;=60,FORECAST(B101,参数说明!$B$26:$B$27,参数说明!$A$26:$A$27),IF(B101&lt;=90,FORECAST(B101,参数说明!$B$27:$B$28,参数说明!$A$27:$A$28),IF(B101&lt;=180,FORECAST(B101,参数说明!$B$28:$B$29,参数说明!$A$28:$A$29),FORECAST(B101,参数说明!$B$29:$B$30,参数说明!$A$29:$A$30)))))))</f>
        <v>66.1666666666667</v>
      </c>
      <c r="D101" s="4">
        <f t="shared" si="3"/>
        <v>4922.16666666667</v>
      </c>
      <c r="E101" s="4">
        <f>IF(D101&lt;'等级-经验对照'!$B$4,0,LOOKUP(D101,'等级-经验对照'!$B$4:$B$103,'等级-经验对照'!$A$4:$A$103))</f>
        <v>46</v>
      </c>
      <c r="F101" s="3" t="str">
        <f t="shared" si="2"/>
        <v/>
      </c>
    </row>
    <row r="102" spans="1:6">
      <c r="A102" s="6">
        <f>参数说明!$B$8+98</f>
        <v>46295</v>
      </c>
      <c r="B102" s="4">
        <v>98</v>
      </c>
      <c r="C102" s="4">
        <f>IF(B102=0,0,IF(B102&lt;=7,FORECAST(B102,参数说明!$B$24:$B$25,参数说明!$A$24:$A$25),IF(B102&lt;=30,FORECAST(B102,参数说明!$B$25:$B$26,参数说明!$A$25:$A$26),IF(B102&lt;=60,FORECAST(B102,参数说明!$B$26:$B$27,参数说明!$A$26:$A$27),IF(B102&lt;=90,FORECAST(B102,参数说明!$B$27:$B$28,参数说明!$A$27:$A$28),IF(B102&lt;=180,FORECAST(B102,参数说明!$B$28:$B$29,参数说明!$A$28:$A$29),FORECAST(B102,参数说明!$B$29:$B$30,参数说明!$A$29:$A$30)))))))</f>
        <v>66.3333333333333</v>
      </c>
      <c r="D102" s="4">
        <f t="shared" si="3"/>
        <v>4988.5</v>
      </c>
      <c r="E102" s="4">
        <f>IF(D102&lt;'等级-经验对照'!$B$4,0,LOOKUP(D102,'等级-经验对照'!$B$4:$B$103,'等级-经验对照'!$A$4:$A$103))</f>
        <v>46</v>
      </c>
      <c r="F102" s="3" t="str">
        <f t="shared" si="2"/>
        <v/>
      </c>
    </row>
    <row r="103" spans="1:6">
      <c r="A103" s="6">
        <f>参数说明!$B$8+99</f>
        <v>46296</v>
      </c>
      <c r="B103" s="4">
        <v>99</v>
      </c>
      <c r="C103" s="4">
        <f>IF(B103=0,0,IF(B103&lt;=7,FORECAST(B103,参数说明!$B$24:$B$25,参数说明!$A$24:$A$25),IF(B103&lt;=30,FORECAST(B103,参数说明!$B$25:$B$26,参数说明!$A$25:$A$26),IF(B103&lt;=60,FORECAST(B103,参数说明!$B$26:$B$27,参数说明!$A$26:$A$27),IF(B103&lt;=90,FORECAST(B103,参数说明!$B$27:$B$28,参数说明!$A$27:$A$28),IF(B103&lt;=180,FORECAST(B103,参数说明!$B$28:$B$29,参数说明!$A$28:$A$29),FORECAST(B103,参数说明!$B$29:$B$30,参数说明!$A$29:$A$30)))))))</f>
        <v>66.5</v>
      </c>
      <c r="D103" s="4">
        <f t="shared" si="3"/>
        <v>5055</v>
      </c>
      <c r="E103" s="4">
        <f>IF(D103&lt;'等级-经验对照'!$B$4,0,LOOKUP(D103,'等级-经验对照'!$B$4:$B$103,'等级-经验对照'!$A$4:$A$103))</f>
        <v>46</v>
      </c>
      <c r="F103" s="3" t="str">
        <f t="shared" si="2"/>
        <v/>
      </c>
    </row>
    <row r="104" spans="1:6">
      <c r="A104" s="6">
        <f>参数说明!$B$8+100</f>
        <v>46297</v>
      </c>
      <c r="B104" s="4">
        <v>100</v>
      </c>
      <c r="C104" s="4">
        <f>IF(B104=0,0,IF(B104&lt;=7,FORECAST(B104,参数说明!$B$24:$B$25,参数说明!$A$24:$A$25),IF(B104&lt;=30,FORECAST(B104,参数说明!$B$25:$B$26,参数说明!$A$25:$A$26),IF(B104&lt;=60,FORECAST(B104,参数说明!$B$26:$B$27,参数说明!$A$26:$A$27),IF(B104&lt;=90,FORECAST(B104,参数说明!$B$27:$B$28,参数说明!$A$27:$A$28),IF(B104&lt;=180,FORECAST(B104,参数说明!$B$28:$B$29,参数说明!$A$28:$A$29),FORECAST(B104,参数说明!$B$29:$B$30,参数说明!$A$29:$A$30)))))))</f>
        <v>66.6666666666667</v>
      </c>
      <c r="D104" s="4">
        <f t="shared" si="3"/>
        <v>5121.66666666667</v>
      </c>
      <c r="E104" s="4">
        <f>IF(D104&lt;'等级-经验对照'!$B$4,0,LOOKUP(D104,'等级-经验对照'!$B$4:$B$103,'等级-经验对照'!$A$4:$A$103))</f>
        <v>47</v>
      </c>
      <c r="F104" s="3" t="str">
        <f t="shared" si="2"/>
        <v/>
      </c>
    </row>
    <row r="105" spans="1:6">
      <c r="A105" s="6">
        <f>参数说明!$B$8+101</f>
        <v>46298</v>
      </c>
      <c r="B105" s="4">
        <v>101</v>
      </c>
      <c r="C105" s="4">
        <f>IF(B105=0,0,IF(B105&lt;=7,FORECAST(B105,参数说明!$B$24:$B$25,参数说明!$A$24:$A$25),IF(B105&lt;=30,FORECAST(B105,参数说明!$B$25:$B$26,参数说明!$A$25:$A$26),IF(B105&lt;=60,FORECAST(B105,参数说明!$B$26:$B$27,参数说明!$A$26:$A$27),IF(B105&lt;=90,FORECAST(B105,参数说明!$B$27:$B$28,参数说明!$A$27:$A$28),IF(B105&lt;=180,FORECAST(B105,参数说明!$B$28:$B$29,参数说明!$A$28:$A$29),FORECAST(B105,参数说明!$B$29:$B$30,参数说明!$A$29:$A$30)))))))</f>
        <v>66.8333333333333</v>
      </c>
      <c r="D105" s="4">
        <f t="shared" si="3"/>
        <v>5188.5</v>
      </c>
      <c r="E105" s="4">
        <f>IF(D105&lt;'等级-经验对照'!$B$4,0,LOOKUP(D105,'等级-经验对照'!$B$4:$B$103,'等级-经验对照'!$A$4:$A$103))</f>
        <v>47</v>
      </c>
      <c r="F105" s="3" t="str">
        <f t="shared" si="2"/>
        <v/>
      </c>
    </row>
    <row r="106" spans="1:6">
      <c r="A106" s="6">
        <f>参数说明!$B$8+102</f>
        <v>46299</v>
      </c>
      <c r="B106" s="4">
        <v>102</v>
      </c>
      <c r="C106" s="4">
        <f>IF(B106=0,0,IF(B106&lt;=7,FORECAST(B106,参数说明!$B$24:$B$25,参数说明!$A$24:$A$25),IF(B106&lt;=30,FORECAST(B106,参数说明!$B$25:$B$26,参数说明!$A$25:$A$26),IF(B106&lt;=60,FORECAST(B106,参数说明!$B$26:$B$27,参数说明!$A$26:$A$27),IF(B106&lt;=90,FORECAST(B106,参数说明!$B$27:$B$28,参数说明!$A$27:$A$28),IF(B106&lt;=180,FORECAST(B106,参数说明!$B$28:$B$29,参数说明!$A$28:$A$29),FORECAST(B106,参数说明!$B$29:$B$30,参数说明!$A$29:$A$30)))))))</f>
        <v>67</v>
      </c>
      <c r="D106" s="4">
        <f t="shared" si="3"/>
        <v>5255.5</v>
      </c>
      <c r="E106" s="4">
        <f>IF(D106&lt;'等级-经验对照'!$B$4,0,LOOKUP(D106,'等级-经验对照'!$B$4:$B$103,'等级-经验对照'!$A$4:$A$103))</f>
        <v>47</v>
      </c>
      <c r="F106" s="3" t="str">
        <f t="shared" si="2"/>
        <v/>
      </c>
    </row>
    <row r="107" spans="1:6">
      <c r="A107" s="6">
        <f>参数说明!$B$8+103</f>
        <v>46300</v>
      </c>
      <c r="B107" s="4">
        <v>103</v>
      </c>
      <c r="C107" s="4">
        <f>IF(B107=0,0,IF(B107&lt;=7,FORECAST(B107,参数说明!$B$24:$B$25,参数说明!$A$24:$A$25),IF(B107&lt;=30,FORECAST(B107,参数说明!$B$25:$B$26,参数说明!$A$25:$A$26),IF(B107&lt;=60,FORECAST(B107,参数说明!$B$26:$B$27,参数说明!$A$26:$A$27),IF(B107&lt;=90,FORECAST(B107,参数说明!$B$27:$B$28,参数说明!$A$27:$A$28),IF(B107&lt;=180,FORECAST(B107,参数说明!$B$28:$B$29,参数说明!$A$28:$A$29),FORECAST(B107,参数说明!$B$29:$B$30,参数说明!$A$29:$A$30)))))))</f>
        <v>67.1666666666667</v>
      </c>
      <c r="D107" s="4">
        <f t="shared" si="3"/>
        <v>5322.66666666667</v>
      </c>
      <c r="E107" s="4">
        <f>IF(D107&lt;'等级-经验对照'!$B$4,0,LOOKUP(D107,'等级-经验对照'!$B$4:$B$103,'等级-经验对照'!$A$4:$A$103))</f>
        <v>47</v>
      </c>
      <c r="F107" s="3" t="str">
        <f t="shared" si="2"/>
        <v/>
      </c>
    </row>
    <row r="108" spans="1:6">
      <c r="A108" s="6">
        <f>参数说明!$B$8+104</f>
        <v>46301</v>
      </c>
      <c r="B108" s="4">
        <v>104</v>
      </c>
      <c r="C108" s="4">
        <f>IF(B108=0,0,IF(B108&lt;=7,FORECAST(B108,参数说明!$B$24:$B$25,参数说明!$A$24:$A$25),IF(B108&lt;=30,FORECAST(B108,参数说明!$B$25:$B$26,参数说明!$A$25:$A$26),IF(B108&lt;=60,FORECAST(B108,参数说明!$B$26:$B$27,参数说明!$A$26:$A$27),IF(B108&lt;=90,FORECAST(B108,参数说明!$B$27:$B$28,参数说明!$A$27:$A$28),IF(B108&lt;=180,FORECAST(B108,参数说明!$B$28:$B$29,参数说明!$A$28:$A$29),FORECAST(B108,参数说明!$B$29:$B$30,参数说明!$A$29:$A$30)))))))</f>
        <v>67.3333333333333</v>
      </c>
      <c r="D108" s="4">
        <f t="shared" si="3"/>
        <v>5390</v>
      </c>
      <c r="E108" s="4">
        <f>IF(D108&lt;'等级-经验对照'!$B$4,0,LOOKUP(D108,'等级-经验对照'!$B$4:$B$103,'等级-经验对照'!$A$4:$A$103))</f>
        <v>47</v>
      </c>
      <c r="F108" s="3" t="str">
        <f t="shared" si="2"/>
        <v/>
      </c>
    </row>
    <row r="109" spans="1:6">
      <c r="A109" s="6">
        <f>参数说明!$B$8+105</f>
        <v>46302</v>
      </c>
      <c r="B109" s="4">
        <v>105</v>
      </c>
      <c r="C109" s="4">
        <f>IF(B109=0,0,IF(B109&lt;=7,FORECAST(B109,参数说明!$B$24:$B$25,参数说明!$A$24:$A$25),IF(B109&lt;=30,FORECAST(B109,参数说明!$B$25:$B$26,参数说明!$A$25:$A$26),IF(B109&lt;=60,FORECAST(B109,参数说明!$B$26:$B$27,参数说明!$A$26:$A$27),IF(B109&lt;=90,FORECAST(B109,参数说明!$B$27:$B$28,参数说明!$A$27:$A$28),IF(B109&lt;=180,FORECAST(B109,参数说明!$B$28:$B$29,参数说明!$A$28:$A$29),FORECAST(B109,参数说明!$B$29:$B$30,参数说明!$A$29:$A$30)))))))</f>
        <v>67.5</v>
      </c>
      <c r="D109" s="4">
        <f t="shared" si="3"/>
        <v>5457.5</v>
      </c>
      <c r="E109" s="4">
        <f>IF(D109&lt;'等级-经验对照'!$B$4,0,LOOKUP(D109,'等级-经验对照'!$B$4:$B$103,'等级-经验对照'!$A$4:$A$103))</f>
        <v>48</v>
      </c>
      <c r="F109" s="3" t="str">
        <f t="shared" si="2"/>
        <v/>
      </c>
    </row>
    <row r="110" spans="1:6">
      <c r="A110" s="6">
        <f>参数说明!$B$8+106</f>
        <v>46303</v>
      </c>
      <c r="B110" s="4">
        <v>106</v>
      </c>
      <c r="C110" s="4">
        <f>IF(B110=0,0,IF(B110&lt;=7,FORECAST(B110,参数说明!$B$24:$B$25,参数说明!$A$24:$A$25),IF(B110&lt;=30,FORECAST(B110,参数说明!$B$25:$B$26,参数说明!$A$25:$A$26),IF(B110&lt;=60,FORECAST(B110,参数说明!$B$26:$B$27,参数说明!$A$26:$A$27),IF(B110&lt;=90,FORECAST(B110,参数说明!$B$27:$B$28,参数说明!$A$27:$A$28),IF(B110&lt;=180,FORECAST(B110,参数说明!$B$28:$B$29,参数说明!$A$28:$A$29),FORECAST(B110,参数说明!$B$29:$B$30,参数说明!$A$29:$A$30)))))))</f>
        <v>67.6666666666667</v>
      </c>
      <c r="D110" s="4">
        <f t="shared" si="3"/>
        <v>5525.16666666667</v>
      </c>
      <c r="E110" s="4">
        <f>IF(D110&lt;'等级-经验对照'!$B$4,0,LOOKUP(D110,'等级-经验对照'!$B$4:$B$103,'等级-经验对照'!$A$4:$A$103))</f>
        <v>48</v>
      </c>
      <c r="F110" s="3" t="str">
        <f t="shared" si="2"/>
        <v/>
      </c>
    </row>
    <row r="111" spans="1:6">
      <c r="A111" s="6">
        <f>参数说明!$B$8+107</f>
        <v>46304</v>
      </c>
      <c r="B111" s="4">
        <v>107</v>
      </c>
      <c r="C111" s="4">
        <f>IF(B111=0,0,IF(B111&lt;=7,FORECAST(B111,参数说明!$B$24:$B$25,参数说明!$A$24:$A$25),IF(B111&lt;=30,FORECAST(B111,参数说明!$B$25:$B$26,参数说明!$A$25:$A$26),IF(B111&lt;=60,FORECAST(B111,参数说明!$B$26:$B$27,参数说明!$A$26:$A$27),IF(B111&lt;=90,FORECAST(B111,参数说明!$B$27:$B$28,参数说明!$A$27:$A$28),IF(B111&lt;=180,FORECAST(B111,参数说明!$B$28:$B$29,参数说明!$A$28:$A$29),FORECAST(B111,参数说明!$B$29:$B$30,参数说明!$A$29:$A$30)))))))</f>
        <v>67.8333333333333</v>
      </c>
      <c r="D111" s="4">
        <f t="shared" si="3"/>
        <v>5593</v>
      </c>
      <c r="E111" s="4">
        <f>IF(D111&lt;'等级-经验对照'!$B$4,0,LOOKUP(D111,'等级-经验对照'!$B$4:$B$103,'等级-经验对照'!$A$4:$A$103))</f>
        <v>48</v>
      </c>
      <c r="F111" s="3" t="str">
        <f t="shared" si="2"/>
        <v/>
      </c>
    </row>
    <row r="112" spans="1:6">
      <c r="A112" s="6">
        <f>参数说明!$B$8+108</f>
        <v>46305</v>
      </c>
      <c r="B112" s="4">
        <v>108</v>
      </c>
      <c r="C112" s="4">
        <f>IF(B112=0,0,IF(B112&lt;=7,FORECAST(B112,参数说明!$B$24:$B$25,参数说明!$A$24:$A$25),IF(B112&lt;=30,FORECAST(B112,参数说明!$B$25:$B$26,参数说明!$A$25:$A$26),IF(B112&lt;=60,FORECAST(B112,参数说明!$B$26:$B$27,参数说明!$A$26:$A$27),IF(B112&lt;=90,FORECAST(B112,参数说明!$B$27:$B$28,参数说明!$A$27:$A$28),IF(B112&lt;=180,FORECAST(B112,参数说明!$B$28:$B$29,参数说明!$A$28:$A$29),FORECAST(B112,参数说明!$B$29:$B$30,参数说明!$A$29:$A$30)))))))</f>
        <v>68</v>
      </c>
      <c r="D112" s="4">
        <f t="shared" si="3"/>
        <v>5661</v>
      </c>
      <c r="E112" s="4">
        <f>IF(D112&lt;'等级-经验对照'!$B$4,0,LOOKUP(D112,'等级-经验对照'!$B$4:$B$103,'等级-经验对照'!$A$4:$A$103))</f>
        <v>48</v>
      </c>
      <c r="F112" s="3" t="str">
        <f t="shared" si="2"/>
        <v/>
      </c>
    </row>
    <row r="113" spans="1:6">
      <c r="A113" s="6">
        <f>参数说明!$B$8+109</f>
        <v>46306</v>
      </c>
      <c r="B113" s="4">
        <v>109</v>
      </c>
      <c r="C113" s="4">
        <f>IF(B113=0,0,IF(B113&lt;=7,FORECAST(B113,参数说明!$B$24:$B$25,参数说明!$A$24:$A$25),IF(B113&lt;=30,FORECAST(B113,参数说明!$B$25:$B$26,参数说明!$A$25:$A$26),IF(B113&lt;=60,FORECAST(B113,参数说明!$B$26:$B$27,参数说明!$A$26:$A$27),IF(B113&lt;=90,FORECAST(B113,参数说明!$B$27:$B$28,参数说明!$A$27:$A$28),IF(B113&lt;=180,FORECAST(B113,参数说明!$B$28:$B$29,参数说明!$A$28:$A$29),FORECAST(B113,参数说明!$B$29:$B$30,参数说明!$A$29:$A$30)))))))</f>
        <v>68.1666666666667</v>
      </c>
      <c r="D113" s="4">
        <f t="shared" si="3"/>
        <v>5729.16666666667</v>
      </c>
      <c r="E113" s="4">
        <f>IF(D113&lt;'等级-经验对照'!$B$4,0,LOOKUP(D113,'等级-经验对照'!$B$4:$B$103,'等级-经验对照'!$A$4:$A$103))</f>
        <v>48</v>
      </c>
      <c r="F113" s="3" t="str">
        <f t="shared" si="2"/>
        <v/>
      </c>
    </row>
    <row r="114" spans="1:6">
      <c r="A114" s="6">
        <f>参数说明!$B$8+110</f>
        <v>46307</v>
      </c>
      <c r="B114" s="4">
        <v>110</v>
      </c>
      <c r="C114" s="4">
        <f>IF(B114=0,0,IF(B114&lt;=7,FORECAST(B114,参数说明!$B$24:$B$25,参数说明!$A$24:$A$25),IF(B114&lt;=30,FORECAST(B114,参数说明!$B$25:$B$26,参数说明!$A$25:$A$26),IF(B114&lt;=60,FORECAST(B114,参数说明!$B$26:$B$27,参数说明!$A$26:$A$27),IF(B114&lt;=90,FORECAST(B114,参数说明!$B$27:$B$28,参数说明!$A$27:$A$28),IF(B114&lt;=180,FORECAST(B114,参数说明!$B$28:$B$29,参数说明!$A$28:$A$29),FORECAST(B114,参数说明!$B$29:$B$30,参数说明!$A$29:$A$30)))))))</f>
        <v>68.3333333333333</v>
      </c>
      <c r="D114" s="4">
        <f t="shared" si="3"/>
        <v>5797.5</v>
      </c>
      <c r="E114" s="4">
        <f>IF(D114&lt;'等级-经验对照'!$B$4,0,LOOKUP(D114,'等级-经验对照'!$B$4:$B$103,'等级-经验对照'!$A$4:$A$103))</f>
        <v>49</v>
      </c>
      <c r="F114" s="3" t="str">
        <f t="shared" si="2"/>
        <v/>
      </c>
    </row>
    <row r="115" spans="1:6">
      <c r="A115" s="6">
        <f>参数说明!$B$8+111</f>
        <v>46308</v>
      </c>
      <c r="B115" s="4">
        <v>111</v>
      </c>
      <c r="C115" s="4">
        <f>IF(B115=0,0,IF(B115&lt;=7,FORECAST(B115,参数说明!$B$24:$B$25,参数说明!$A$24:$A$25),IF(B115&lt;=30,FORECAST(B115,参数说明!$B$25:$B$26,参数说明!$A$25:$A$26),IF(B115&lt;=60,FORECAST(B115,参数说明!$B$26:$B$27,参数说明!$A$26:$A$27),IF(B115&lt;=90,FORECAST(B115,参数说明!$B$27:$B$28,参数说明!$A$27:$A$28),IF(B115&lt;=180,FORECAST(B115,参数说明!$B$28:$B$29,参数说明!$A$28:$A$29),FORECAST(B115,参数说明!$B$29:$B$30,参数说明!$A$29:$A$30)))))))</f>
        <v>68.5</v>
      </c>
      <c r="D115" s="4">
        <f t="shared" si="3"/>
        <v>5866</v>
      </c>
      <c r="E115" s="4">
        <f>IF(D115&lt;'等级-经验对照'!$B$4,0,LOOKUP(D115,'等级-经验对照'!$B$4:$B$103,'等级-经验对照'!$A$4:$A$103))</f>
        <v>49</v>
      </c>
      <c r="F115" s="3" t="str">
        <f t="shared" si="2"/>
        <v/>
      </c>
    </row>
    <row r="116" spans="1:6">
      <c r="A116" s="6">
        <f>参数说明!$B$8+112</f>
        <v>46309</v>
      </c>
      <c r="B116" s="4">
        <v>112</v>
      </c>
      <c r="C116" s="4">
        <f>IF(B116=0,0,IF(B116&lt;=7,FORECAST(B116,参数说明!$B$24:$B$25,参数说明!$A$24:$A$25),IF(B116&lt;=30,FORECAST(B116,参数说明!$B$25:$B$26,参数说明!$A$25:$A$26),IF(B116&lt;=60,FORECAST(B116,参数说明!$B$26:$B$27,参数说明!$A$26:$A$27),IF(B116&lt;=90,FORECAST(B116,参数说明!$B$27:$B$28,参数说明!$A$27:$A$28),IF(B116&lt;=180,FORECAST(B116,参数说明!$B$28:$B$29,参数说明!$A$28:$A$29),FORECAST(B116,参数说明!$B$29:$B$30,参数说明!$A$29:$A$30)))))))</f>
        <v>68.6666666666667</v>
      </c>
      <c r="D116" s="4">
        <f t="shared" si="3"/>
        <v>5934.66666666667</v>
      </c>
      <c r="E116" s="4">
        <f>IF(D116&lt;'等级-经验对照'!$B$4,0,LOOKUP(D116,'等级-经验对照'!$B$4:$B$103,'等级-经验对照'!$A$4:$A$103))</f>
        <v>49</v>
      </c>
      <c r="F116" s="3" t="str">
        <f t="shared" si="2"/>
        <v/>
      </c>
    </row>
    <row r="117" spans="1:6">
      <c r="A117" s="6">
        <f>参数说明!$B$8+113</f>
        <v>46310</v>
      </c>
      <c r="B117" s="4">
        <v>113</v>
      </c>
      <c r="C117" s="4">
        <f>IF(B117=0,0,IF(B117&lt;=7,FORECAST(B117,参数说明!$B$24:$B$25,参数说明!$A$24:$A$25),IF(B117&lt;=30,FORECAST(B117,参数说明!$B$25:$B$26,参数说明!$A$25:$A$26),IF(B117&lt;=60,FORECAST(B117,参数说明!$B$26:$B$27,参数说明!$A$26:$A$27),IF(B117&lt;=90,FORECAST(B117,参数说明!$B$27:$B$28,参数说明!$A$27:$A$28),IF(B117&lt;=180,FORECAST(B117,参数说明!$B$28:$B$29,参数说明!$A$28:$A$29),FORECAST(B117,参数说明!$B$29:$B$30,参数说明!$A$29:$A$30)))))))</f>
        <v>68.8333333333333</v>
      </c>
      <c r="D117" s="4">
        <f t="shared" si="3"/>
        <v>6003.5</v>
      </c>
      <c r="E117" s="4">
        <f>IF(D117&lt;'等级-经验对照'!$B$4,0,LOOKUP(D117,'等级-经验对照'!$B$4:$B$103,'等级-经验对照'!$A$4:$A$103))</f>
        <v>49</v>
      </c>
      <c r="F117" s="3" t="str">
        <f t="shared" si="2"/>
        <v/>
      </c>
    </row>
    <row r="118" spans="1:6">
      <c r="A118" s="6">
        <f>参数说明!$B$8+114</f>
        <v>46311</v>
      </c>
      <c r="B118" s="4">
        <v>114</v>
      </c>
      <c r="C118" s="4">
        <f>IF(B118=0,0,IF(B118&lt;=7,FORECAST(B118,参数说明!$B$24:$B$25,参数说明!$A$24:$A$25),IF(B118&lt;=30,FORECAST(B118,参数说明!$B$25:$B$26,参数说明!$A$25:$A$26),IF(B118&lt;=60,FORECAST(B118,参数说明!$B$26:$B$27,参数说明!$A$26:$A$27),IF(B118&lt;=90,FORECAST(B118,参数说明!$B$27:$B$28,参数说明!$A$27:$A$28),IF(B118&lt;=180,FORECAST(B118,参数说明!$B$28:$B$29,参数说明!$A$28:$A$29),FORECAST(B118,参数说明!$B$29:$B$30,参数说明!$A$29:$A$30)))))))</f>
        <v>69</v>
      </c>
      <c r="D118" s="4">
        <f t="shared" si="3"/>
        <v>6072.5</v>
      </c>
      <c r="E118" s="4">
        <f>IF(D118&lt;'等级-经验对照'!$B$4,0,LOOKUP(D118,'等级-经验对照'!$B$4:$B$103,'等级-经验对照'!$A$4:$A$103))</f>
        <v>49</v>
      </c>
      <c r="F118" s="3" t="str">
        <f t="shared" si="2"/>
        <v/>
      </c>
    </row>
    <row r="119" spans="1:6">
      <c r="A119" s="6">
        <f>参数说明!$B$8+115</f>
        <v>46312</v>
      </c>
      <c r="B119" s="4">
        <v>115</v>
      </c>
      <c r="C119" s="4">
        <f>IF(B119=0,0,IF(B119&lt;=7,FORECAST(B119,参数说明!$B$24:$B$25,参数说明!$A$24:$A$25),IF(B119&lt;=30,FORECAST(B119,参数说明!$B$25:$B$26,参数说明!$A$25:$A$26),IF(B119&lt;=60,FORECAST(B119,参数说明!$B$26:$B$27,参数说明!$A$26:$A$27),IF(B119&lt;=90,FORECAST(B119,参数说明!$B$27:$B$28,参数说明!$A$27:$A$28),IF(B119&lt;=180,FORECAST(B119,参数说明!$B$28:$B$29,参数说明!$A$28:$A$29),FORECAST(B119,参数说明!$B$29:$B$30,参数说明!$A$29:$A$30)))))))</f>
        <v>69.1666666666667</v>
      </c>
      <c r="D119" s="4">
        <f t="shared" si="3"/>
        <v>6141.66666666667</v>
      </c>
      <c r="E119" s="4">
        <f>IF(D119&lt;'等级-经验对照'!$B$4,0,LOOKUP(D119,'等级-经验对照'!$B$4:$B$103,'等级-经验对照'!$A$4:$A$103))</f>
        <v>50</v>
      </c>
      <c r="F119" s="3" t="str">
        <f t="shared" si="2"/>
        <v/>
      </c>
    </row>
    <row r="120" spans="1:6">
      <c r="A120" s="6">
        <f>参数说明!$B$8+116</f>
        <v>46313</v>
      </c>
      <c r="B120" s="4">
        <v>116</v>
      </c>
      <c r="C120" s="4">
        <f>IF(B120=0,0,IF(B120&lt;=7,FORECAST(B120,参数说明!$B$24:$B$25,参数说明!$A$24:$A$25),IF(B120&lt;=30,FORECAST(B120,参数说明!$B$25:$B$26,参数说明!$A$25:$A$26),IF(B120&lt;=60,FORECAST(B120,参数说明!$B$26:$B$27,参数说明!$A$26:$A$27),IF(B120&lt;=90,FORECAST(B120,参数说明!$B$27:$B$28,参数说明!$A$27:$A$28),IF(B120&lt;=180,FORECAST(B120,参数说明!$B$28:$B$29,参数说明!$A$28:$A$29),FORECAST(B120,参数说明!$B$29:$B$30,参数说明!$A$29:$A$30)))))))</f>
        <v>69.3333333333333</v>
      </c>
      <c r="D120" s="4">
        <f t="shared" si="3"/>
        <v>6211</v>
      </c>
      <c r="E120" s="4">
        <f>IF(D120&lt;'等级-经验对照'!$B$4,0,LOOKUP(D120,'等级-经验对照'!$B$4:$B$103,'等级-经验对照'!$A$4:$A$103))</f>
        <v>50</v>
      </c>
      <c r="F120" s="3" t="str">
        <f t="shared" si="2"/>
        <v/>
      </c>
    </row>
    <row r="121" spans="1:6">
      <c r="A121" s="6">
        <f>参数说明!$B$8+117</f>
        <v>46314</v>
      </c>
      <c r="B121" s="4">
        <v>117</v>
      </c>
      <c r="C121" s="4">
        <f>IF(B121=0,0,IF(B121&lt;=7,FORECAST(B121,参数说明!$B$24:$B$25,参数说明!$A$24:$A$25),IF(B121&lt;=30,FORECAST(B121,参数说明!$B$25:$B$26,参数说明!$A$25:$A$26),IF(B121&lt;=60,FORECAST(B121,参数说明!$B$26:$B$27,参数说明!$A$26:$A$27),IF(B121&lt;=90,FORECAST(B121,参数说明!$B$27:$B$28,参数说明!$A$27:$A$28),IF(B121&lt;=180,FORECAST(B121,参数说明!$B$28:$B$29,参数说明!$A$28:$A$29),FORECAST(B121,参数说明!$B$29:$B$30,参数说明!$A$29:$A$30)))))))</f>
        <v>69.5</v>
      </c>
      <c r="D121" s="4">
        <f t="shared" si="3"/>
        <v>6280.5</v>
      </c>
      <c r="E121" s="4">
        <f>IF(D121&lt;'等级-经验对照'!$B$4,0,LOOKUP(D121,'等级-经验对照'!$B$4:$B$103,'等级-经验对照'!$A$4:$A$103))</f>
        <v>50</v>
      </c>
      <c r="F121" s="3" t="str">
        <f t="shared" si="2"/>
        <v/>
      </c>
    </row>
    <row r="122" spans="1:6">
      <c r="A122" s="6">
        <f>参数说明!$B$8+118</f>
        <v>46315</v>
      </c>
      <c r="B122" s="4">
        <v>118</v>
      </c>
      <c r="C122" s="4">
        <f>IF(B122=0,0,IF(B122&lt;=7,FORECAST(B122,参数说明!$B$24:$B$25,参数说明!$A$24:$A$25),IF(B122&lt;=30,FORECAST(B122,参数说明!$B$25:$B$26,参数说明!$A$25:$A$26),IF(B122&lt;=60,FORECAST(B122,参数说明!$B$26:$B$27,参数说明!$A$26:$A$27),IF(B122&lt;=90,FORECAST(B122,参数说明!$B$27:$B$28,参数说明!$A$27:$A$28),IF(B122&lt;=180,FORECAST(B122,参数说明!$B$28:$B$29,参数说明!$A$28:$A$29),FORECAST(B122,参数说明!$B$29:$B$30,参数说明!$A$29:$A$30)))))))</f>
        <v>69.6666666666667</v>
      </c>
      <c r="D122" s="4">
        <f t="shared" si="3"/>
        <v>6350.16666666667</v>
      </c>
      <c r="E122" s="4">
        <f>IF(D122&lt;'等级-经验对照'!$B$4,0,LOOKUP(D122,'等级-经验对照'!$B$4:$B$103,'等级-经验对照'!$A$4:$A$103))</f>
        <v>50</v>
      </c>
      <c r="F122" s="3" t="str">
        <f t="shared" si="2"/>
        <v/>
      </c>
    </row>
    <row r="123" spans="1:6">
      <c r="A123" s="6">
        <f>参数说明!$B$8+119</f>
        <v>46316</v>
      </c>
      <c r="B123" s="4">
        <v>119</v>
      </c>
      <c r="C123" s="4">
        <f>IF(B123=0,0,IF(B123&lt;=7,FORECAST(B123,参数说明!$B$24:$B$25,参数说明!$A$24:$A$25),IF(B123&lt;=30,FORECAST(B123,参数说明!$B$25:$B$26,参数说明!$A$25:$A$26),IF(B123&lt;=60,FORECAST(B123,参数说明!$B$26:$B$27,参数说明!$A$26:$A$27),IF(B123&lt;=90,FORECAST(B123,参数说明!$B$27:$B$28,参数说明!$A$27:$A$28),IF(B123&lt;=180,FORECAST(B123,参数说明!$B$28:$B$29,参数说明!$A$28:$A$29),FORECAST(B123,参数说明!$B$29:$B$30,参数说明!$A$29:$A$30)))))))</f>
        <v>69.8333333333333</v>
      </c>
      <c r="D123" s="4">
        <f t="shared" si="3"/>
        <v>6420</v>
      </c>
      <c r="E123" s="4">
        <f>IF(D123&lt;'等级-经验对照'!$B$4,0,LOOKUP(D123,'等级-经验对照'!$B$4:$B$103,'等级-经验对照'!$A$4:$A$103))</f>
        <v>51</v>
      </c>
      <c r="F123" s="3" t="str">
        <f t="shared" si="2"/>
        <v/>
      </c>
    </row>
    <row r="124" spans="1:6">
      <c r="A124" s="6">
        <f>参数说明!$B$8+120</f>
        <v>46317</v>
      </c>
      <c r="B124" s="4">
        <v>120</v>
      </c>
      <c r="C124" s="4">
        <f>IF(B124=0,0,IF(B124&lt;=7,FORECAST(B124,参数说明!$B$24:$B$25,参数说明!$A$24:$A$25),IF(B124&lt;=30,FORECAST(B124,参数说明!$B$25:$B$26,参数说明!$A$25:$A$26),IF(B124&lt;=60,FORECAST(B124,参数说明!$B$26:$B$27,参数说明!$A$26:$A$27),IF(B124&lt;=90,FORECAST(B124,参数说明!$B$27:$B$28,参数说明!$A$27:$A$28),IF(B124&lt;=180,FORECAST(B124,参数说明!$B$28:$B$29,参数说明!$A$28:$A$29),FORECAST(B124,参数说明!$B$29:$B$30,参数说明!$A$29:$A$30)))))))</f>
        <v>70</v>
      </c>
      <c r="D124" s="4">
        <f t="shared" si="3"/>
        <v>6490</v>
      </c>
      <c r="E124" s="4">
        <f>IF(D124&lt;'等级-经验对照'!$B$4,0,LOOKUP(D124,'等级-经验对照'!$B$4:$B$103,'等级-经验对照'!$A$4:$A$103))</f>
        <v>51</v>
      </c>
      <c r="F124" s="3" t="str">
        <f t="shared" si="2"/>
        <v/>
      </c>
    </row>
    <row r="125" spans="1:6">
      <c r="A125" s="6">
        <f>参数说明!$B$8+121</f>
        <v>46318</v>
      </c>
      <c r="B125" s="4">
        <v>121</v>
      </c>
      <c r="C125" s="4">
        <f>IF(B125=0,0,IF(B125&lt;=7,FORECAST(B125,参数说明!$B$24:$B$25,参数说明!$A$24:$A$25),IF(B125&lt;=30,FORECAST(B125,参数说明!$B$25:$B$26,参数说明!$A$25:$A$26),IF(B125&lt;=60,FORECAST(B125,参数说明!$B$26:$B$27,参数说明!$A$26:$A$27),IF(B125&lt;=90,FORECAST(B125,参数说明!$B$27:$B$28,参数说明!$A$27:$A$28),IF(B125&lt;=180,FORECAST(B125,参数说明!$B$28:$B$29,参数说明!$A$28:$A$29),FORECAST(B125,参数说明!$B$29:$B$30,参数说明!$A$29:$A$30)))))))</f>
        <v>70.1666666666667</v>
      </c>
      <c r="D125" s="4">
        <f t="shared" si="3"/>
        <v>6560.16666666667</v>
      </c>
      <c r="E125" s="4">
        <f>IF(D125&lt;'等级-经验对照'!$B$4,0,LOOKUP(D125,'等级-经验对照'!$B$4:$B$103,'等级-经验对照'!$A$4:$A$103))</f>
        <v>51</v>
      </c>
      <c r="F125" s="3" t="str">
        <f t="shared" si="2"/>
        <v/>
      </c>
    </row>
    <row r="126" spans="1:6">
      <c r="A126" s="6">
        <f>参数说明!$B$8+122</f>
        <v>46319</v>
      </c>
      <c r="B126" s="4">
        <v>122</v>
      </c>
      <c r="C126" s="4">
        <f>IF(B126=0,0,IF(B126&lt;=7,FORECAST(B126,参数说明!$B$24:$B$25,参数说明!$A$24:$A$25),IF(B126&lt;=30,FORECAST(B126,参数说明!$B$25:$B$26,参数说明!$A$25:$A$26),IF(B126&lt;=60,FORECAST(B126,参数说明!$B$26:$B$27,参数说明!$A$26:$A$27),IF(B126&lt;=90,FORECAST(B126,参数说明!$B$27:$B$28,参数说明!$A$27:$A$28),IF(B126&lt;=180,FORECAST(B126,参数说明!$B$28:$B$29,参数说明!$A$28:$A$29),FORECAST(B126,参数说明!$B$29:$B$30,参数说明!$A$29:$A$30)))))))</f>
        <v>70.3333333333333</v>
      </c>
      <c r="D126" s="4">
        <f t="shared" si="3"/>
        <v>6630.5</v>
      </c>
      <c r="E126" s="4">
        <f>IF(D126&lt;'等级-经验对照'!$B$4,0,LOOKUP(D126,'等级-经验对照'!$B$4:$B$103,'等级-经验对照'!$A$4:$A$103))</f>
        <v>51</v>
      </c>
      <c r="F126" s="3" t="str">
        <f t="shared" si="2"/>
        <v/>
      </c>
    </row>
    <row r="127" spans="1:6">
      <c r="A127" s="6">
        <f>参数说明!$B$8+123</f>
        <v>46320</v>
      </c>
      <c r="B127" s="4">
        <v>123</v>
      </c>
      <c r="C127" s="4">
        <f>IF(B127=0,0,IF(B127&lt;=7,FORECAST(B127,参数说明!$B$24:$B$25,参数说明!$A$24:$A$25),IF(B127&lt;=30,FORECAST(B127,参数说明!$B$25:$B$26,参数说明!$A$25:$A$26),IF(B127&lt;=60,FORECAST(B127,参数说明!$B$26:$B$27,参数说明!$A$26:$A$27),IF(B127&lt;=90,FORECAST(B127,参数说明!$B$27:$B$28,参数说明!$A$27:$A$28),IF(B127&lt;=180,FORECAST(B127,参数说明!$B$28:$B$29,参数说明!$A$28:$A$29),FORECAST(B127,参数说明!$B$29:$B$30,参数说明!$A$29:$A$30)))))))</f>
        <v>70.5</v>
      </c>
      <c r="D127" s="4">
        <f t="shared" si="3"/>
        <v>6701</v>
      </c>
      <c r="E127" s="4">
        <f>IF(D127&lt;'等级-经验对照'!$B$4,0,LOOKUP(D127,'等级-经验对照'!$B$4:$B$103,'等级-经验对照'!$A$4:$A$103))</f>
        <v>51</v>
      </c>
      <c r="F127" s="3" t="str">
        <f t="shared" si="2"/>
        <v/>
      </c>
    </row>
    <row r="128" spans="1:6">
      <c r="A128" s="6">
        <f>参数说明!$B$8+124</f>
        <v>46321</v>
      </c>
      <c r="B128" s="4">
        <v>124</v>
      </c>
      <c r="C128" s="4">
        <f>IF(B128=0,0,IF(B128&lt;=7,FORECAST(B128,参数说明!$B$24:$B$25,参数说明!$A$24:$A$25),IF(B128&lt;=30,FORECAST(B128,参数说明!$B$25:$B$26,参数说明!$A$25:$A$26),IF(B128&lt;=60,FORECAST(B128,参数说明!$B$26:$B$27,参数说明!$A$26:$A$27),IF(B128&lt;=90,FORECAST(B128,参数说明!$B$27:$B$28,参数说明!$A$27:$A$28),IF(B128&lt;=180,FORECAST(B128,参数说明!$B$28:$B$29,参数说明!$A$28:$A$29),FORECAST(B128,参数说明!$B$29:$B$30,参数说明!$A$29:$A$30)))))))</f>
        <v>70.6666666666667</v>
      </c>
      <c r="D128" s="4">
        <f t="shared" si="3"/>
        <v>6771.66666666667</v>
      </c>
      <c r="E128" s="4">
        <f>IF(D128&lt;'等级-经验对照'!$B$4,0,LOOKUP(D128,'等级-经验对照'!$B$4:$B$103,'等级-经验对照'!$A$4:$A$103))</f>
        <v>52</v>
      </c>
      <c r="F128" s="3" t="str">
        <f t="shared" si="2"/>
        <v/>
      </c>
    </row>
    <row r="129" spans="1:6">
      <c r="A129" s="6">
        <f>参数说明!$B$8+125</f>
        <v>46322</v>
      </c>
      <c r="B129" s="4">
        <v>125</v>
      </c>
      <c r="C129" s="4">
        <f>IF(B129=0,0,IF(B129&lt;=7,FORECAST(B129,参数说明!$B$24:$B$25,参数说明!$A$24:$A$25),IF(B129&lt;=30,FORECAST(B129,参数说明!$B$25:$B$26,参数说明!$A$25:$A$26),IF(B129&lt;=60,FORECAST(B129,参数说明!$B$26:$B$27,参数说明!$A$26:$A$27),IF(B129&lt;=90,FORECAST(B129,参数说明!$B$27:$B$28,参数说明!$A$27:$A$28),IF(B129&lt;=180,FORECAST(B129,参数说明!$B$28:$B$29,参数说明!$A$28:$A$29),FORECAST(B129,参数说明!$B$29:$B$30,参数说明!$A$29:$A$30)))))))</f>
        <v>70.8333333333333</v>
      </c>
      <c r="D129" s="4">
        <f t="shared" si="3"/>
        <v>6842.5</v>
      </c>
      <c r="E129" s="4">
        <f>IF(D129&lt;'等级-经验对照'!$B$4,0,LOOKUP(D129,'等级-经验对照'!$B$4:$B$103,'等级-经验对照'!$A$4:$A$103))</f>
        <v>52</v>
      </c>
      <c r="F129" s="3" t="str">
        <f t="shared" si="2"/>
        <v/>
      </c>
    </row>
    <row r="130" spans="1:6">
      <c r="A130" s="6">
        <f>参数说明!$B$8+126</f>
        <v>46323</v>
      </c>
      <c r="B130" s="4">
        <v>126</v>
      </c>
      <c r="C130" s="4">
        <f>IF(B130=0,0,IF(B130&lt;=7,FORECAST(B130,参数说明!$B$24:$B$25,参数说明!$A$24:$A$25),IF(B130&lt;=30,FORECAST(B130,参数说明!$B$25:$B$26,参数说明!$A$25:$A$26),IF(B130&lt;=60,FORECAST(B130,参数说明!$B$26:$B$27,参数说明!$A$26:$A$27),IF(B130&lt;=90,FORECAST(B130,参数说明!$B$27:$B$28,参数说明!$A$27:$A$28),IF(B130&lt;=180,FORECAST(B130,参数说明!$B$28:$B$29,参数说明!$A$28:$A$29),FORECAST(B130,参数说明!$B$29:$B$30,参数说明!$A$29:$A$30)))))))</f>
        <v>71</v>
      </c>
      <c r="D130" s="4">
        <f t="shared" si="3"/>
        <v>6913.5</v>
      </c>
      <c r="E130" s="4">
        <f>IF(D130&lt;'等级-经验对照'!$B$4,0,LOOKUP(D130,'等级-经验对照'!$B$4:$B$103,'等级-经验对照'!$A$4:$A$103))</f>
        <v>52</v>
      </c>
      <c r="F130" s="3" t="str">
        <f t="shared" si="2"/>
        <v/>
      </c>
    </row>
    <row r="131" spans="1:6">
      <c r="A131" s="6">
        <f>参数说明!$B$8+127</f>
        <v>46324</v>
      </c>
      <c r="B131" s="4">
        <v>127</v>
      </c>
      <c r="C131" s="4">
        <f>IF(B131=0,0,IF(B131&lt;=7,FORECAST(B131,参数说明!$B$24:$B$25,参数说明!$A$24:$A$25),IF(B131&lt;=30,FORECAST(B131,参数说明!$B$25:$B$26,参数说明!$A$25:$A$26),IF(B131&lt;=60,FORECAST(B131,参数说明!$B$26:$B$27,参数说明!$A$26:$A$27),IF(B131&lt;=90,FORECAST(B131,参数说明!$B$27:$B$28,参数说明!$A$27:$A$28),IF(B131&lt;=180,FORECAST(B131,参数说明!$B$28:$B$29,参数说明!$A$28:$A$29),FORECAST(B131,参数说明!$B$29:$B$30,参数说明!$A$29:$A$30)))))))</f>
        <v>71.1666666666667</v>
      </c>
      <c r="D131" s="4">
        <f t="shared" si="3"/>
        <v>6984.66666666667</v>
      </c>
      <c r="E131" s="4">
        <f>IF(D131&lt;'等级-经验对照'!$B$4,0,LOOKUP(D131,'等级-经验对照'!$B$4:$B$103,'等级-经验对照'!$A$4:$A$103))</f>
        <v>52</v>
      </c>
      <c r="F131" s="3" t="str">
        <f t="shared" si="2"/>
        <v/>
      </c>
    </row>
    <row r="132" spans="1:6">
      <c r="A132" s="6">
        <f>参数说明!$B$8+128</f>
        <v>46325</v>
      </c>
      <c r="B132" s="4">
        <v>128</v>
      </c>
      <c r="C132" s="4">
        <f>IF(B132=0,0,IF(B132&lt;=7,FORECAST(B132,参数说明!$B$24:$B$25,参数说明!$A$24:$A$25),IF(B132&lt;=30,FORECAST(B132,参数说明!$B$25:$B$26,参数说明!$A$25:$A$26),IF(B132&lt;=60,FORECAST(B132,参数说明!$B$26:$B$27,参数说明!$A$26:$A$27),IF(B132&lt;=90,FORECAST(B132,参数说明!$B$27:$B$28,参数说明!$A$27:$A$28),IF(B132&lt;=180,FORECAST(B132,参数说明!$B$28:$B$29,参数说明!$A$28:$A$29),FORECAST(B132,参数说明!$B$29:$B$30,参数说明!$A$29:$A$30)))))))</f>
        <v>71.3333333333333</v>
      </c>
      <c r="D132" s="4">
        <f t="shared" si="3"/>
        <v>7056</v>
      </c>
      <c r="E132" s="4">
        <f>IF(D132&lt;'等级-经验对照'!$B$4,0,LOOKUP(D132,'等级-经验对照'!$B$4:$B$103,'等级-经验对照'!$A$4:$A$103))</f>
        <v>52</v>
      </c>
      <c r="F132" s="3" t="str">
        <f t="shared" ref="F132:F195" si="4">IF(OR(B132=1,B132=7,B132=30,B132=60,B132=90,B132=180,B132=365),"D"&amp;B132&amp;" / Lv"&amp;E132&amp;" / "&amp;ROUND(D132,0)&amp;" XP","")</f>
        <v/>
      </c>
    </row>
    <row r="133" spans="1:6">
      <c r="A133" s="6">
        <f>参数说明!$B$8+129</f>
        <v>46326</v>
      </c>
      <c r="B133" s="4">
        <v>129</v>
      </c>
      <c r="C133" s="4">
        <f>IF(B133=0,0,IF(B133&lt;=7,FORECAST(B133,参数说明!$B$24:$B$25,参数说明!$A$24:$A$25),IF(B133&lt;=30,FORECAST(B133,参数说明!$B$25:$B$26,参数说明!$A$25:$A$26),IF(B133&lt;=60,FORECAST(B133,参数说明!$B$26:$B$27,参数说明!$A$26:$A$27),IF(B133&lt;=90,FORECAST(B133,参数说明!$B$27:$B$28,参数说明!$A$27:$A$28),IF(B133&lt;=180,FORECAST(B133,参数说明!$B$28:$B$29,参数说明!$A$28:$A$29),FORECAST(B133,参数说明!$B$29:$B$30,参数说明!$A$29:$A$30)))))))</f>
        <v>71.5</v>
      </c>
      <c r="D133" s="4">
        <f t="shared" ref="D133:D196" si="5">D132+C133</f>
        <v>7127.5</v>
      </c>
      <c r="E133" s="4">
        <f>IF(D133&lt;'等级-经验对照'!$B$4,0,LOOKUP(D133,'等级-经验对照'!$B$4:$B$103,'等级-经验对照'!$A$4:$A$103))</f>
        <v>53</v>
      </c>
      <c r="F133" s="3" t="str">
        <f t="shared" si="4"/>
        <v/>
      </c>
    </row>
    <row r="134" spans="1:6">
      <c r="A134" s="6">
        <f>参数说明!$B$8+130</f>
        <v>46327</v>
      </c>
      <c r="B134" s="4">
        <v>130</v>
      </c>
      <c r="C134" s="4">
        <f>IF(B134=0,0,IF(B134&lt;=7,FORECAST(B134,参数说明!$B$24:$B$25,参数说明!$A$24:$A$25),IF(B134&lt;=30,FORECAST(B134,参数说明!$B$25:$B$26,参数说明!$A$25:$A$26),IF(B134&lt;=60,FORECAST(B134,参数说明!$B$26:$B$27,参数说明!$A$26:$A$27),IF(B134&lt;=90,FORECAST(B134,参数说明!$B$27:$B$28,参数说明!$A$27:$A$28),IF(B134&lt;=180,FORECAST(B134,参数说明!$B$28:$B$29,参数说明!$A$28:$A$29),FORECAST(B134,参数说明!$B$29:$B$30,参数说明!$A$29:$A$30)))))))</f>
        <v>71.6666666666667</v>
      </c>
      <c r="D134" s="4">
        <f t="shared" si="5"/>
        <v>7199.16666666667</v>
      </c>
      <c r="E134" s="4">
        <f>IF(D134&lt;'等级-经验对照'!$B$4,0,LOOKUP(D134,'等级-经验对照'!$B$4:$B$103,'等级-经验对照'!$A$4:$A$103))</f>
        <v>53</v>
      </c>
      <c r="F134" s="3" t="str">
        <f t="shared" si="4"/>
        <v/>
      </c>
    </row>
    <row r="135" spans="1:6">
      <c r="A135" s="6">
        <f>参数说明!$B$8+131</f>
        <v>46328</v>
      </c>
      <c r="B135" s="4">
        <v>131</v>
      </c>
      <c r="C135" s="4">
        <f>IF(B135=0,0,IF(B135&lt;=7,FORECAST(B135,参数说明!$B$24:$B$25,参数说明!$A$24:$A$25),IF(B135&lt;=30,FORECAST(B135,参数说明!$B$25:$B$26,参数说明!$A$25:$A$26),IF(B135&lt;=60,FORECAST(B135,参数说明!$B$26:$B$27,参数说明!$A$26:$A$27),IF(B135&lt;=90,FORECAST(B135,参数说明!$B$27:$B$28,参数说明!$A$27:$A$28),IF(B135&lt;=180,FORECAST(B135,参数说明!$B$28:$B$29,参数说明!$A$28:$A$29),FORECAST(B135,参数说明!$B$29:$B$30,参数说明!$A$29:$A$30)))))))</f>
        <v>71.8333333333333</v>
      </c>
      <c r="D135" s="4">
        <f t="shared" si="5"/>
        <v>7271</v>
      </c>
      <c r="E135" s="4">
        <f>IF(D135&lt;'等级-经验对照'!$B$4,0,LOOKUP(D135,'等级-经验对照'!$B$4:$B$103,'等级-经验对照'!$A$4:$A$103))</f>
        <v>53</v>
      </c>
      <c r="F135" s="3" t="str">
        <f t="shared" si="4"/>
        <v/>
      </c>
    </row>
    <row r="136" spans="1:6">
      <c r="A136" s="6">
        <f>参数说明!$B$8+132</f>
        <v>46329</v>
      </c>
      <c r="B136" s="4">
        <v>132</v>
      </c>
      <c r="C136" s="4">
        <f>IF(B136=0,0,IF(B136&lt;=7,FORECAST(B136,参数说明!$B$24:$B$25,参数说明!$A$24:$A$25),IF(B136&lt;=30,FORECAST(B136,参数说明!$B$25:$B$26,参数说明!$A$25:$A$26),IF(B136&lt;=60,FORECAST(B136,参数说明!$B$26:$B$27,参数说明!$A$26:$A$27),IF(B136&lt;=90,FORECAST(B136,参数说明!$B$27:$B$28,参数说明!$A$27:$A$28),IF(B136&lt;=180,FORECAST(B136,参数说明!$B$28:$B$29,参数说明!$A$28:$A$29),FORECAST(B136,参数说明!$B$29:$B$30,参数说明!$A$29:$A$30)))))))</f>
        <v>72</v>
      </c>
      <c r="D136" s="4">
        <f t="shared" si="5"/>
        <v>7343</v>
      </c>
      <c r="E136" s="4">
        <f>IF(D136&lt;'等级-经验对照'!$B$4,0,LOOKUP(D136,'等级-经验对照'!$B$4:$B$103,'等级-经验对照'!$A$4:$A$103))</f>
        <v>53</v>
      </c>
      <c r="F136" s="3" t="str">
        <f t="shared" si="4"/>
        <v/>
      </c>
    </row>
    <row r="137" spans="1:6">
      <c r="A137" s="6">
        <f>参数说明!$B$8+133</f>
        <v>46330</v>
      </c>
      <c r="B137" s="4">
        <v>133</v>
      </c>
      <c r="C137" s="4">
        <f>IF(B137=0,0,IF(B137&lt;=7,FORECAST(B137,参数说明!$B$24:$B$25,参数说明!$A$24:$A$25),IF(B137&lt;=30,FORECAST(B137,参数说明!$B$25:$B$26,参数说明!$A$25:$A$26),IF(B137&lt;=60,FORECAST(B137,参数说明!$B$26:$B$27,参数说明!$A$26:$A$27),IF(B137&lt;=90,FORECAST(B137,参数说明!$B$27:$B$28,参数说明!$A$27:$A$28),IF(B137&lt;=180,FORECAST(B137,参数说明!$B$28:$B$29,参数说明!$A$28:$A$29),FORECAST(B137,参数说明!$B$29:$B$30,参数说明!$A$29:$A$30)))))))</f>
        <v>72.1666666666667</v>
      </c>
      <c r="D137" s="4">
        <f t="shared" si="5"/>
        <v>7415.16666666667</v>
      </c>
      <c r="E137" s="4">
        <f>IF(D137&lt;'等级-经验对照'!$B$4,0,LOOKUP(D137,'等级-经验对照'!$B$4:$B$103,'等级-经验对照'!$A$4:$A$103))</f>
        <v>54</v>
      </c>
      <c r="F137" s="3" t="str">
        <f t="shared" si="4"/>
        <v/>
      </c>
    </row>
    <row r="138" spans="1:6">
      <c r="A138" s="6">
        <f>参数说明!$B$8+134</f>
        <v>46331</v>
      </c>
      <c r="B138" s="4">
        <v>134</v>
      </c>
      <c r="C138" s="4">
        <f>IF(B138=0,0,IF(B138&lt;=7,FORECAST(B138,参数说明!$B$24:$B$25,参数说明!$A$24:$A$25),IF(B138&lt;=30,FORECAST(B138,参数说明!$B$25:$B$26,参数说明!$A$25:$A$26),IF(B138&lt;=60,FORECAST(B138,参数说明!$B$26:$B$27,参数说明!$A$26:$A$27),IF(B138&lt;=90,FORECAST(B138,参数说明!$B$27:$B$28,参数说明!$A$27:$A$28),IF(B138&lt;=180,FORECAST(B138,参数说明!$B$28:$B$29,参数说明!$A$28:$A$29),FORECAST(B138,参数说明!$B$29:$B$30,参数说明!$A$29:$A$30)))))))</f>
        <v>72.3333333333333</v>
      </c>
      <c r="D138" s="4">
        <f t="shared" si="5"/>
        <v>7487.5</v>
      </c>
      <c r="E138" s="4">
        <f>IF(D138&lt;'等级-经验对照'!$B$4,0,LOOKUP(D138,'等级-经验对照'!$B$4:$B$103,'等级-经验对照'!$A$4:$A$103))</f>
        <v>54</v>
      </c>
      <c r="F138" s="3" t="str">
        <f t="shared" si="4"/>
        <v/>
      </c>
    </row>
    <row r="139" spans="1:6">
      <c r="A139" s="6">
        <f>参数说明!$B$8+135</f>
        <v>46332</v>
      </c>
      <c r="B139" s="4">
        <v>135</v>
      </c>
      <c r="C139" s="4">
        <f>IF(B139=0,0,IF(B139&lt;=7,FORECAST(B139,参数说明!$B$24:$B$25,参数说明!$A$24:$A$25),IF(B139&lt;=30,FORECAST(B139,参数说明!$B$25:$B$26,参数说明!$A$25:$A$26),IF(B139&lt;=60,FORECAST(B139,参数说明!$B$26:$B$27,参数说明!$A$26:$A$27),IF(B139&lt;=90,FORECAST(B139,参数说明!$B$27:$B$28,参数说明!$A$27:$A$28),IF(B139&lt;=180,FORECAST(B139,参数说明!$B$28:$B$29,参数说明!$A$28:$A$29),FORECAST(B139,参数说明!$B$29:$B$30,参数说明!$A$29:$A$30)))))))</f>
        <v>72.5</v>
      </c>
      <c r="D139" s="4">
        <f t="shared" si="5"/>
        <v>7560</v>
      </c>
      <c r="E139" s="4">
        <f>IF(D139&lt;'等级-经验对照'!$B$4,0,LOOKUP(D139,'等级-经验对照'!$B$4:$B$103,'等级-经验对照'!$A$4:$A$103))</f>
        <v>54</v>
      </c>
      <c r="F139" s="3" t="str">
        <f t="shared" si="4"/>
        <v/>
      </c>
    </row>
    <row r="140" spans="1:6">
      <c r="A140" s="6">
        <f>参数说明!$B$8+136</f>
        <v>46333</v>
      </c>
      <c r="B140" s="4">
        <v>136</v>
      </c>
      <c r="C140" s="4">
        <f>IF(B140=0,0,IF(B140&lt;=7,FORECAST(B140,参数说明!$B$24:$B$25,参数说明!$A$24:$A$25),IF(B140&lt;=30,FORECAST(B140,参数说明!$B$25:$B$26,参数说明!$A$25:$A$26),IF(B140&lt;=60,FORECAST(B140,参数说明!$B$26:$B$27,参数说明!$A$26:$A$27),IF(B140&lt;=90,FORECAST(B140,参数说明!$B$27:$B$28,参数说明!$A$27:$A$28),IF(B140&lt;=180,FORECAST(B140,参数说明!$B$28:$B$29,参数说明!$A$28:$A$29),FORECAST(B140,参数说明!$B$29:$B$30,参数说明!$A$29:$A$30)))))))</f>
        <v>72.6666666666667</v>
      </c>
      <c r="D140" s="4">
        <f t="shared" si="5"/>
        <v>7632.66666666667</v>
      </c>
      <c r="E140" s="4">
        <f>IF(D140&lt;'等级-经验对照'!$B$4,0,LOOKUP(D140,'等级-经验对照'!$B$4:$B$103,'等级-经验对照'!$A$4:$A$103))</f>
        <v>54</v>
      </c>
      <c r="F140" s="3" t="str">
        <f t="shared" si="4"/>
        <v/>
      </c>
    </row>
    <row r="141" spans="1:6">
      <c r="A141" s="6">
        <f>参数说明!$B$8+137</f>
        <v>46334</v>
      </c>
      <c r="B141" s="4">
        <v>137</v>
      </c>
      <c r="C141" s="4">
        <f>IF(B141=0,0,IF(B141&lt;=7,FORECAST(B141,参数说明!$B$24:$B$25,参数说明!$A$24:$A$25),IF(B141&lt;=30,FORECAST(B141,参数说明!$B$25:$B$26,参数说明!$A$25:$A$26),IF(B141&lt;=60,FORECAST(B141,参数说明!$B$26:$B$27,参数说明!$A$26:$A$27),IF(B141&lt;=90,FORECAST(B141,参数说明!$B$27:$B$28,参数说明!$A$27:$A$28),IF(B141&lt;=180,FORECAST(B141,参数说明!$B$28:$B$29,参数说明!$A$28:$A$29),FORECAST(B141,参数说明!$B$29:$B$30,参数说明!$A$29:$A$30)))))))</f>
        <v>72.8333333333333</v>
      </c>
      <c r="D141" s="4">
        <f t="shared" si="5"/>
        <v>7705.5</v>
      </c>
      <c r="E141" s="4">
        <f>IF(D141&lt;'等级-经验对照'!$B$4,0,LOOKUP(D141,'等级-经验对照'!$B$4:$B$103,'等级-经验对照'!$A$4:$A$103))</f>
        <v>54</v>
      </c>
      <c r="F141" s="3" t="str">
        <f t="shared" si="4"/>
        <v/>
      </c>
    </row>
    <row r="142" spans="1:6">
      <c r="A142" s="6">
        <f>参数说明!$B$8+138</f>
        <v>46335</v>
      </c>
      <c r="B142" s="4">
        <v>138</v>
      </c>
      <c r="C142" s="4">
        <f>IF(B142=0,0,IF(B142&lt;=7,FORECAST(B142,参数说明!$B$24:$B$25,参数说明!$A$24:$A$25),IF(B142&lt;=30,FORECAST(B142,参数说明!$B$25:$B$26,参数说明!$A$25:$A$26),IF(B142&lt;=60,FORECAST(B142,参数说明!$B$26:$B$27,参数说明!$A$26:$A$27),IF(B142&lt;=90,FORECAST(B142,参数说明!$B$27:$B$28,参数说明!$A$27:$A$28),IF(B142&lt;=180,FORECAST(B142,参数说明!$B$28:$B$29,参数说明!$A$28:$A$29),FORECAST(B142,参数说明!$B$29:$B$30,参数说明!$A$29:$A$30)))))))</f>
        <v>73</v>
      </c>
      <c r="D142" s="4">
        <f t="shared" si="5"/>
        <v>7778.5</v>
      </c>
      <c r="E142" s="4">
        <f>IF(D142&lt;'等级-经验对照'!$B$4,0,LOOKUP(D142,'等级-经验对照'!$B$4:$B$103,'等级-经验对照'!$A$4:$A$103))</f>
        <v>55</v>
      </c>
      <c r="F142" s="3" t="str">
        <f t="shared" si="4"/>
        <v/>
      </c>
    </row>
    <row r="143" spans="1:6">
      <c r="A143" s="6">
        <f>参数说明!$B$8+139</f>
        <v>46336</v>
      </c>
      <c r="B143" s="4">
        <v>139</v>
      </c>
      <c r="C143" s="4">
        <f>IF(B143=0,0,IF(B143&lt;=7,FORECAST(B143,参数说明!$B$24:$B$25,参数说明!$A$24:$A$25),IF(B143&lt;=30,FORECAST(B143,参数说明!$B$25:$B$26,参数说明!$A$25:$A$26),IF(B143&lt;=60,FORECAST(B143,参数说明!$B$26:$B$27,参数说明!$A$26:$A$27),IF(B143&lt;=90,FORECAST(B143,参数说明!$B$27:$B$28,参数说明!$A$27:$A$28),IF(B143&lt;=180,FORECAST(B143,参数说明!$B$28:$B$29,参数说明!$A$28:$A$29),FORECAST(B143,参数说明!$B$29:$B$30,参数说明!$A$29:$A$30)))))))</f>
        <v>73.1666666666667</v>
      </c>
      <c r="D143" s="4">
        <f t="shared" si="5"/>
        <v>7851.66666666667</v>
      </c>
      <c r="E143" s="4">
        <f>IF(D143&lt;'等级-经验对照'!$B$4,0,LOOKUP(D143,'等级-经验对照'!$B$4:$B$103,'等级-经验对照'!$A$4:$A$103))</f>
        <v>55</v>
      </c>
      <c r="F143" s="3" t="str">
        <f t="shared" si="4"/>
        <v/>
      </c>
    </row>
    <row r="144" spans="1:6">
      <c r="A144" s="6">
        <f>参数说明!$B$8+140</f>
        <v>46337</v>
      </c>
      <c r="B144" s="4">
        <v>140</v>
      </c>
      <c r="C144" s="4">
        <f>IF(B144=0,0,IF(B144&lt;=7,FORECAST(B144,参数说明!$B$24:$B$25,参数说明!$A$24:$A$25),IF(B144&lt;=30,FORECAST(B144,参数说明!$B$25:$B$26,参数说明!$A$25:$A$26),IF(B144&lt;=60,FORECAST(B144,参数说明!$B$26:$B$27,参数说明!$A$26:$A$27),IF(B144&lt;=90,FORECAST(B144,参数说明!$B$27:$B$28,参数说明!$A$27:$A$28),IF(B144&lt;=180,FORECAST(B144,参数说明!$B$28:$B$29,参数说明!$A$28:$A$29),FORECAST(B144,参数说明!$B$29:$B$30,参数说明!$A$29:$A$30)))))))</f>
        <v>73.3333333333333</v>
      </c>
      <c r="D144" s="4">
        <f t="shared" si="5"/>
        <v>7925</v>
      </c>
      <c r="E144" s="4">
        <f>IF(D144&lt;'等级-经验对照'!$B$4,0,LOOKUP(D144,'等级-经验对照'!$B$4:$B$103,'等级-经验对照'!$A$4:$A$103))</f>
        <v>55</v>
      </c>
      <c r="F144" s="3" t="str">
        <f t="shared" si="4"/>
        <v/>
      </c>
    </row>
    <row r="145" spans="1:6">
      <c r="A145" s="6">
        <f>参数说明!$B$8+141</f>
        <v>46338</v>
      </c>
      <c r="B145" s="4">
        <v>141</v>
      </c>
      <c r="C145" s="4">
        <f>IF(B145=0,0,IF(B145&lt;=7,FORECAST(B145,参数说明!$B$24:$B$25,参数说明!$A$24:$A$25),IF(B145&lt;=30,FORECAST(B145,参数说明!$B$25:$B$26,参数说明!$A$25:$A$26),IF(B145&lt;=60,FORECAST(B145,参数说明!$B$26:$B$27,参数说明!$A$26:$A$27),IF(B145&lt;=90,FORECAST(B145,参数说明!$B$27:$B$28,参数说明!$A$27:$A$28),IF(B145&lt;=180,FORECAST(B145,参数说明!$B$28:$B$29,参数说明!$A$28:$A$29),FORECAST(B145,参数说明!$B$29:$B$30,参数说明!$A$29:$A$30)))))))</f>
        <v>73.5</v>
      </c>
      <c r="D145" s="4">
        <f t="shared" si="5"/>
        <v>7998.5</v>
      </c>
      <c r="E145" s="4">
        <f>IF(D145&lt;'等级-经验对照'!$B$4,0,LOOKUP(D145,'等级-经验对照'!$B$4:$B$103,'等级-经验对照'!$A$4:$A$103))</f>
        <v>55</v>
      </c>
      <c r="F145" s="3" t="str">
        <f t="shared" si="4"/>
        <v/>
      </c>
    </row>
    <row r="146" spans="1:6">
      <c r="A146" s="6">
        <f>参数说明!$B$8+142</f>
        <v>46339</v>
      </c>
      <c r="B146" s="4">
        <v>142</v>
      </c>
      <c r="C146" s="4">
        <f>IF(B146=0,0,IF(B146&lt;=7,FORECAST(B146,参数说明!$B$24:$B$25,参数说明!$A$24:$A$25),IF(B146&lt;=30,FORECAST(B146,参数说明!$B$25:$B$26,参数说明!$A$25:$A$26),IF(B146&lt;=60,FORECAST(B146,参数说明!$B$26:$B$27,参数说明!$A$26:$A$27),IF(B146&lt;=90,FORECAST(B146,参数说明!$B$27:$B$28,参数说明!$A$27:$A$28),IF(B146&lt;=180,FORECAST(B146,参数说明!$B$28:$B$29,参数说明!$A$28:$A$29),FORECAST(B146,参数说明!$B$29:$B$30,参数说明!$A$29:$A$30)))))))</f>
        <v>73.6666666666667</v>
      </c>
      <c r="D146" s="4">
        <f t="shared" si="5"/>
        <v>8072.16666666667</v>
      </c>
      <c r="E146" s="4">
        <f>IF(D146&lt;'等级-经验对照'!$B$4,0,LOOKUP(D146,'等级-经验对照'!$B$4:$B$103,'等级-经验对照'!$A$4:$A$103))</f>
        <v>56</v>
      </c>
      <c r="F146" s="3" t="str">
        <f t="shared" si="4"/>
        <v/>
      </c>
    </row>
    <row r="147" spans="1:6">
      <c r="A147" s="6">
        <f>参数说明!$B$8+143</f>
        <v>46340</v>
      </c>
      <c r="B147" s="4">
        <v>143</v>
      </c>
      <c r="C147" s="4">
        <f>IF(B147=0,0,IF(B147&lt;=7,FORECAST(B147,参数说明!$B$24:$B$25,参数说明!$A$24:$A$25),IF(B147&lt;=30,FORECAST(B147,参数说明!$B$25:$B$26,参数说明!$A$25:$A$26),IF(B147&lt;=60,FORECAST(B147,参数说明!$B$26:$B$27,参数说明!$A$26:$A$27),IF(B147&lt;=90,FORECAST(B147,参数说明!$B$27:$B$28,参数说明!$A$27:$A$28),IF(B147&lt;=180,FORECAST(B147,参数说明!$B$28:$B$29,参数说明!$A$28:$A$29),FORECAST(B147,参数说明!$B$29:$B$30,参数说明!$A$29:$A$30)))))))</f>
        <v>73.8333333333333</v>
      </c>
      <c r="D147" s="4">
        <f t="shared" si="5"/>
        <v>8146</v>
      </c>
      <c r="E147" s="4">
        <f>IF(D147&lt;'等级-经验对照'!$B$4,0,LOOKUP(D147,'等级-经验对照'!$B$4:$B$103,'等级-经验对照'!$A$4:$A$103))</f>
        <v>56</v>
      </c>
      <c r="F147" s="3" t="str">
        <f t="shared" si="4"/>
        <v/>
      </c>
    </row>
    <row r="148" spans="1:6">
      <c r="A148" s="6">
        <f>参数说明!$B$8+144</f>
        <v>46341</v>
      </c>
      <c r="B148" s="4">
        <v>144</v>
      </c>
      <c r="C148" s="4">
        <f>IF(B148=0,0,IF(B148&lt;=7,FORECAST(B148,参数说明!$B$24:$B$25,参数说明!$A$24:$A$25),IF(B148&lt;=30,FORECAST(B148,参数说明!$B$25:$B$26,参数说明!$A$25:$A$26),IF(B148&lt;=60,FORECAST(B148,参数说明!$B$26:$B$27,参数说明!$A$26:$A$27),IF(B148&lt;=90,FORECAST(B148,参数说明!$B$27:$B$28,参数说明!$A$27:$A$28),IF(B148&lt;=180,FORECAST(B148,参数说明!$B$28:$B$29,参数说明!$A$28:$A$29),FORECAST(B148,参数说明!$B$29:$B$30,参数说明!$A$29:$A$30)))))))</f>
        <v>74</v>
      </c>
      <c r="D148" s="4">
        <f t="shared" si="5"/>
        <v>8220</v>
      </c>
      <c r="E148" s="4">
        <f>IF(D148&lt;'等级-经验对照'!$B$4,0,LOOKUP(D148,'等级-经验对照'!$B$4:$B$103,'等级-经验对照'!$A$4:$A$103))</f>
        <v>56</v>
      </c>
      <c r="F148" s="3" t="str">
        <f t="shared" si="4"/>
        <v/>
      </c>
    </row>
    <row r="149" spans="1:6">
      <c r="A149" s="6">
        <f>参数说明!$B$8+145</f>
        <v>46342</v>
      </c>
      <c r="B149" s="4">
        <v>145</v>
      </c>
      <c r="C149" s="4">
        <f>IF(B149=0,0,IF(B149&lt;=7,FORECAST(B149,参数说明!$B$24:$B$25,参数说明!$A$24:$A$25),IF(B149&lt;=30,FORECAST(B149,参数说明!$B$25:$B$26,参数说明!$A$25:$A$26),IF(B149&lt;=60,FORECAST(B149,参数说明!$B$26:$B$27,参数说明!$A$26:$A$27),IF(B149&lt;=90,FORECAST(B149,参数说明!$B$27:$B$28,参数说明!$A$27:$A$28),IF(B149&lt;=180,FORECAST(B149,参数说明!$B$28:$B$29,参数说明!$A$28:$A$29),FORECAST(B149,参数说明!$B$29:$B$30,参数说明!$A$29:$A$30)))))))</f>
        <v>74.1666666666667</v>
      </c>
      <c r="D149" s="4">
        <f t="shared" si="5"/>
        <v>8294.16666666667</v>
      </c>
      <c r="E149" s="4">
        <f>IF(D149&lt;'等级-经验对照'!$B$4,0,LOOKUP(D149,'等级-经验对照'!$B$4:$B$103,'等级-经验对照'!$A$4:$A$103))</f>
        <v>56</v>
      </c>
      <c r="F149" s="3" t="str">
        <f t="shared" si="4"/>
        <v/>
      </c>
    </row>
    <row r="150" spans="1:6">
      <c r="A150" s="6">
        <f>参数说明!$B$8+146</f>
        <v>46343</v>
      </c>
      <c r="B150" s="4">
        <v>146</v>
      </c>
      <c r="C150" s="4">
        <f>IF(B150=0,0,IF(B150&lt;=7,FORECAST(B150,参数说明!$B$24:$B$25,参数说明!$A$24:$A$25),IF(B150&lt;=30,FORECAST(B150,参数说明!$B$25:$B$26,参数说明!$A$25:$A$26),IF(B150&lt;=60,FORECAST(B150,参数说明!$B$26:$B$27,参数说明!$A$26:$A$27),IF(B150&lt;=90,FORECAST(B150,参数说明!$B$27:$B$28,参数说明!$A$27:$A$28),IF(B150&lt;=180,FORECAST(B150,参数说明!$B$28:$B$29,参数说明!$A$28:$A$29),FORECAST(B150,参数说明!$B$29:$B$30,参数说明!$A$29:$A$30)))))))</f>
        <v>74.3333333333333</v>
      </c>
      <c r="D150" s="4">
        <f t="shared" si="5"/>
        <v>8368.5</v>
      </c>
      <c r="E150" s="4">
        <f>IF(D150&lt;'等级-经验对照'!$B$4,0,LOOKUP(D150,'等级-经验对照'!$B$4:$B$103,'等级-经验对照'!$A$4:$A$103))</f>
        <v>56</v>
      </c>
      <c r="F150" s="3" t="str">
        <f t="shared" si="4"/>
        <v/>
      </c>
    </row>
    <row r="151" spans="1:6">
      <c r="A151" s="6">
        <f>参数说明!$B$8+147</f>
        <v>46344</v>
      </c>
      <c r="B151" s="4">
        <v>147</v>
      </c>
      <c r="C151" s="4">
        <f>IF(B151=0,0,IF(B151&lt;=7,FORECAST(B151,参数说明!$B$24:$B$25,参数说明!$A$24:$A$25),IF(B151&lt;=30,FORECAST(B151,参数说明!$B$25:$B$26,参数说明!$A$25:$A$26),IF(B151&lt;=60,FORECAST(B151,参数说明!$B$26:$B$27,参数说明!$A$26:$A$27),IF(B151&lt;=90,FORECAST(B151,参数说明!$B$27:$B$28,参数说明!$A$27:$A$28),IF(B151&lt;=180,FORECAST(B151,参数说明!$B$28:$B$29,参数说明!$A$28:$A$29),FORECAST(B151,参数说明!$B$29:$B$30,参数说明!$A$29:$A$30)))))))</f>
        <v>74.5</v>
      </c>
      <c r="D151" s="4">
        <f t="shared" si="5"/>
        <v>8443</v>
      </c>
      <c r="E151" s="4">
        <f>IF(D151&lt;'等级-经验对照'!$B$4,0,LOOKUP(D151,'等级-经验对照'!$B$4:$B$103,'等级-经验对照'!$A$4:$A$103))</f>
        <v>57</v>
      </c>
      <c r="F151" s="3" t="str">
        <f t="shared" si="4"/>
        <v/>
      </c>
    </row>
    <row r="152" spans="1:6">
      <c r="A152" s="6">
        <f>参数说明!$B$8+148</f>
        <v>46345</v>
      </c>
      <c r="B152" s="4">
        <v>148</v>
      </c>
      <c r="C152" s="4">
        <f>IF(B152=0,0,IF(B152&lt;=7,FORECAST(B152,参数说明!$B$24:$B$25,参数说明!$A$24:$A$25),IF(B152&lt;=30,FORECAST(B152,参数说明!$B$25:$B$26,参数说明!$A$25:$A$26),IF(B152&lt;=60,FORECAST(B152,参数说明!$B$26:$B$27,参数说明!$A$26:$A$27),IF(B152&lt;=90,FORECAST(B152,参数说明!$B$27:$B$28,参数说明!$A$27:$A$28),IF(B152&lt;=180,FORECAST(B152,参数说明!$B$28:$B$29,参数说明!$A$28:$A$29),FORECAST(B152,参数说明!$B$29:$B$30,参数说明!$A$29:$A$30)))))))</f>
        <v>74.6666666666667</v>
      </c>
      <c r="D152" s="4">
        <f t="shared" si="5"/>
        <v>8517.66666666667</v>
      </c>
      <c r="E152" s="4">
        <f>IF(D152&lt;'等级-经验对照'!$B$4,0,LOOKUP(D152,'等级-经验对照'!$B$4:$B$103,'等级-经验对照'!$A$4:$A$103))</f>
        <v>57</v>
      </c>
      <c r="F152" s="3" t="str">
        <f t="shared" si="4"/>
        <v/>
      </c>
    </row>
    <row r="153" spans="1:6">
      <c r="A153" s="6">
        <f>参数说明!$B$8+149</f>
        <v>46346</v>
      </c>
      <c r="B153" s="4">
        <v>149</v>
      </c>
      <c r="C153" s="4">
        <f>IF(B153=0,0,IF(B153&lt;=7,FORECAST(B153,参数说明!$B$24:$B$25,参数说明!$A$24:$A$25),IF(B153&lt;=30,FORECAST(B153,参数说明!$B$25:$B$26,参数说明!$A$25:$A$26),IF(B153&lt;=60,FORECAST(B153,参数说明!$B$26:$B$27,参数说明!$A$26:$A$27),IF(B153&lt;=90,FORECAST(B153,参数说明!$B$27:$B$28,参数说明!$A$27:$A$28),IF(B153&lt;=180,FORECAST(B153,参数说明!$B$28:$B$29,参数说明!$A$28:$A$29),FORECAST(B153,参数说明!$B$29:$B$30,参数说明!$A$29:$A$30)))))))</f>
        <v>74.8333333333333</v>
      </c>
      <c r="D153" s="4">
        <f t="shared" si="5"/>
        <v>8592.5</v>
      </c>
      <c r="E153" s="4">
        <f>IF(D153&lt;'等级-经验对照'!$B$4,0,LOOKUP(D153,'等级-经验对照'!$B$4:$B$103,'等级-经验对照'!$A$4:$A$103))</f>
        <v>57</v>
      </c>
      <c r="F153" s="3" t="str">
        <f t="shared" si="4"/>
        <v/>
      </c>
    </row>
    <row r="154" spans="1:6">
      <c r="A154" s="6">
        <f>参数说明!$B$8+150</f>
        <v>46347</v>
      </c>
      <c r="B154" s="4">
        <v>150</v>
      </c>
      <c r="C154" s="4">
        <f>IF(B154=0,0,IF(B154&lt;=7,FORECAST(B154,参数说明!$B$24:$B$25,参数说明!$A$24:$A$25),IF(B154&lt;=30,FORECAST(B154,参数说明!$B$25:$B$26,参数说明!$A$25:$A$26),IF(B154&lt;=60,FORECAST(B154,参数说明!$B$26:$B$27,参数说明!$A$26:$A$27),IF(B154&lt;=90,FORECAST(B154,参数说明!$B$27:$B$28,参数说明!$A$27:$A$28),IF(B154&lt;=180,FORECAST(B154,参数说明!$B$28:$B$29,参数说明!$A$28:$A$29),FORECAST(B154,参数说明!$B$29:$B$30,参数说明!$A$29:$A$30)))))))</f>
        <v>75</v>
      </c>
      <c r="D154" s="4">
        <f t="shared" si="5"/>
        <v>8667.5</v>
      </c>
      <c r="E154" s="4">
        <f>IF(D154&lt;'等级-经验对照'!$B$4,0,LOOKUP(D154,'等级-经验对照'!$B$4:$B$103,'等级-经验对照'!$A$4:$A$103))</f>
        <v>57</v>
      </c>
      <c r="F154" s="3" t="str">
        <f t="shared" si="4"/>
        <v/>
      </c>
    </row>
    <row r="155" spans="1:6">
      <c r="A155" s="6">
        <f>参数说明!$B$8+151</f>
        <v>46348</v>
      </c>
      <c r="B155" s="4">
        <v>151</v>
      </c>
      <c r="C155" s="4">
        <f>IF(B155=0,0,IF(B155&lt;=7,FORECAST(B155,参数说明!$B$24:$B$25,参数说明!$A$24:$A$25),IF(B155&lt;=30,FORECAST(B155,参数说明!$B$25:$B$26,参数说明!$A$25:$A$26),IF(B155&lt;=60,FORECAST(B155,参数说明!$B$26:$B$27,参数说明!$A$26:$A$27),IF(B155&lt;=90,FORECAST(B155,参数说明!$B$27:$B$28,参数说明!$A$27:$A$28),IF(B155&lt;=180,FORECAST(B155,参数说明!$B$28:$B$29,参数说明!$A$28:$A$29),FORECAST(B155,参数说明!$B$29:$B$30,参数说明!$A$29:$A$30)))))))</f>
        <v>75.1666666666667</v>
      </c>
      <c r="D155" s="4">
        <f t="shared" si="5"/>
        <v>8742.66666666667</v>
      </c>
      <c r="E155" s="4">
        <f>IF(D155&lt;'等级-经验对照'!$B$4,0,LOOKUP(D155,'等级-经验对照'!$B$4:$B$103,'等级-经验对照'!$A$4:$A$103))</f>
        <v>58</v>
      </c>
      <c r="F155" s="3" t="str">
        <f t="shared" si="4"/>
        <v/>
      </c>
    </row>
    <row r="156" spans="1:6">
      <c r="A156" s="6">
        <f>参数说明!$B$8+152</f>
        <v>46349</v>
      </c>
      <c r="B156" s="4">
        <v>152</v>
      </c>
      <c r="C156" s="4">
        <f>IF(B156=0,0,IF(B156&lt;=7,FORECAST(B156,参数说明!$B$24:$B$25,参数说明!$A$24:$A$25),IF(B156&lt;=30,FORECAST(B156,参数说明!$B$25:$B$26,参数说明!$A$25:$A$26),IF(B156&lt;=60,FORECAST(B156,参数说明!$B$26:$B$27,参数说明!$A$26:$A$27),IF(B156&lt;=90,FORECAST(B156,参数说明!$B$27:$B$28,参数说明!$A$27:$A$28),IF(B156&lt;=180,FORECAST(B156,参数说明!$B$28:$B$29,参数说明!$A$28:$A$29),FORECAST(B156,参数说明!$B$29:$B$30,参数说明!$A$29:$A$30)))))))</f>
        <v>75.3333333333333</v>
      </c>
      <c r="D156" s="4">
        <f t="shared" si="5"/>
        <v>8818</v>
      </c>
      <c r="E156" s="4">
        <f>IF(D156&lt;'等级-经验对照'!$B$4,0,LOOKUP(D156,'等级-经验对照'!$B$4:$B$103,'等级-经验对照'!$A$4:$A$103))</f>
        <v>58</v>
      </c>
      <c r="F156" s="3" t="str">
        <f t="shared" si="4"/>
        <v/>
      </c>
    </row>
    <row r="157" spans="1:6">
      <c r="A157" s="6">
        <f>参数说明!$B$8+153</f>
        <v>46350</v>
      </c>
      <c r="B157" s="4">
        <v>153</v>
      </c>
      <c r="C157" s="4">
        <f>IF(B157=0,0,IF(B157&lt;=7,FORECAST(B157,参数说明!$B$24:$B$25,参数说明!$A$24:$A$25),IF(B157&lt;=30,FORECAST(B157,参数说明!$B$25:$B$26,参数说明!$A$25:$A$26),IF(B157&lt;=60,FORECAST(B157,参数说明!$B$26:$B$27,参数说明!$A$26:$A$27),IF(B157&lt;=90,FORECAST(B157,参数说明!$B$27:$B$28,参数说明!$A$27:$A$28),IF(B157&lt;=180,FORECAST(B157,参数说明!$B$28:$B$29,参数说明!$A$28:$A$29),FORECAST(B157,参数说明!$B$29:$B$30,参数说明!$A$29:$A$30)))))))</f>
        <v>75.5</v>
      </c>
      <c r="D157" s="4">
        <f t="shared" si="5"/>
        <v>8893.5</v>
      </c>
      <c r="E157" s="4">
        <f>IF(D157&lt;'等级-经验对照'!$B$4,0,LOOKUP(D157,'等级-经验对照'!$B$4:$B$103,'等级-经验对照'!$A$4:$A$103))</f>
        <v>58</v>
      </c>
      <c r="F157" s="3" t="str">
        <f t="shared" si="4"/>
        <v/>
      </c>
    </row>
    <row r="158" spans="1:6">
      <c r="A158" s="6">
        <f>参数说明!$B$8+154</f>
        <v>46351</v>
      </c>
      <c r="B158" s="4">
        <v>154</v>
      </c>
      <c r="C158" s="4">
        <f>IF(B158=0,0,IF(B158&lt;=7,FORECAST(B158,参数说明!$B$24:$B$25,参数说明!$A$24:$A$25),IF(B158&lt;=30,FORECAST(B158,参数说明!$B$25:$B$26,参数说明!$A$25:$A$26),IF(B158&lt;=60,FORECAST(B158,参数说明!$B$26:$B$27,参数说明!$A$26:$A$27),IF(B158&lt;=90,FORECAST(B158,参数说明!$B$27:$B$28,参数说明!$A$27:$A$28),IF(B158&lt;=180,FORECAST(B158,参数说明!$B$28:$B$29,参数说明!$A$28:$A$29),FORECAST(B158,参数说明!$B$29:$B$30,参数说明!$A$29:$A$30)))))))</f>
        <v>75.6666666666667</v>
      </c>
      <c r="D158" s="4">
        <f t="shared" si="5"/>
        <v>8969.16666666667</v>
      </c>
      <c r="E158" s="4">
        <f>IF(D158&lt;'等级-经验对照'!$B$4,0,LOOKUP(D158,'等级-经验对照'!$B$4:$B$103,'等级-经验对照'!$A$4:$A$103))</f>
        <v>58</v>
      </c>
      <c r="F158" s="3" t="str">
        <f t="shared" si="4"/>
        <v/>
      </c>
    </row>
    <row r="159" spans="1:6">
      <c r="A159" s="6">
        <f>参数说明!$B$8+155</f>
        <v>46352</v>
      </c>
      <c r="B159" s="4">
        <v>155</v>
      </c>
      <c r="C159" s="4">
        <f>IF(B159=0,0,IF(B159&lt;=7,FORECAST(B159,参数说明!$B$24:$B$25,参数说明!$A$24:$A$25),IF(B159&lt;=30,FORECAST(B159,参数说明!$B$25:$B$26,参数说明!$A$25:$A$26),IF(B159&lt;=60,FORECAST(B159,参数说明!$B$26:$B$27,参数说明!$A$26:$A$27),IF(B159&lt;=90,FORECAST(B159,参数说明!$B$27:$B$28,参数说明!$A$27:$A$28),IF(B159&lt;=180,FORECAST(B159,参数说明!$B$28:$B$29,参数说明!$A$28:$A$29),FORECAST(B159,参数说明!$B$29:$B$30,参数说明!$A$29:$A$30)))))))</f>
        <v>75.8333333333333</v>
      </c>
      <c r="D159" s="4">
        <f t="shared" si="5"/>
        <v>9045</v>
      </c>
      <c r="E159" s="4">
        <f>IF(D159&lt;'等级-经验对照'!$B$4,0,LOOKUP(D159,'等级-经验对照'!$B$4:$B$103,'等级-经验对照'!$A$4:$A$103))</f>
        <v>59</v>
      </c>
      <c r="F159" s="3" t="str">
        <f t="shared" si="4"/>
        <v/>
      </c>
    </row>
    <row r="160" spans="1:6">
      <c r="A160" s="6">
        <f>参数说明!$B$8+156</f>
        <v>46353</v>
      </c>
      <c r="B160" s="4">
        <v>156</v>
      </c>
      <c r="C160" s="4">
        <f>IF(B160=0,0,IF(B160&lt;=7,FORECAST(B160,参数说明!$B$24:$B$25,参数说明!$A$24:$A$25),IF(B160&lt;=30,FORECAST(B160,参数说明!$B$25:$B$26,参数说明!$A$25:$A$26),IF(B160&lt;=60,FORECAST(B160,参数说明!$B$26:$B$27,参数说明!$A$26:$A$27),IF(B160&lt;=90,FORECAST(B160,参数说明!$B$27:$B$28,参数说明!$A$27:$A$28),IF(B160&lt;=180,FORECAST(B160,参数说明!$B$28:$B$29,参数说明!$A$28:$A$29),FORECAST(B160,参数说明!$B$29:$B$30,参数说明!$A$29:$A$30)))))))</f>
        <v>76</v>
      </c>
      <c r="D160" s="4">
        <f t="shared" si="5"/>
        <v>9121</v>
      </c>
      <c r="E160" s="4">
        <f>IF(D160&lt;'等级-经验对照'!$B$4,0,LOOKUP(D160,'等级-经验对照'!$B$4:$B$103,'等级-经验对照'!$A$4:$A$103))</f>
        <v>59</v>
      </c>
      <c r="F160" s="3" t="str">
        <f t="shared" si="4"/>
        <v/>
      </c>
    </row>
    <row r="161" spans="1:6">
      <c r="A161" s="6">
        <f>参数说明!$B$8+157</f>
        <v>46354</v>
      </c>
      <c r="B161" s="4">
        <v>157</v>
      </c>
      <c r="C161" s="4">
        <f>IF(B161=0,0,IF(B161&lt;=7,FORECAST(B161,参数说明!$B$24:$B$25,参数说明!$A$24:$A$25),IF(B161&lt;=30,FORECAST(B161,参数说明!$B$25:$B$26,参数说明!$A$25:$A$26),IF(B161&lt;=60,FORECAST(B161,参数说明!$B$26:$B$27,参数说明!$A$26:$A$27),IF(B161&lt;=90,FORECAST(B161,参数说明!$B$27:$B$28,参数说明!$A$27:$A$28),IF(B161&lt;=180,FORECAST(B161,参数说明!$B$28:$B$29,参数说明!$A$28:$A$29),FORECAST(B161,参数说明!$B$29:$B$30,参数说明!$A$29:$A$30)))))))</f>
        <v>76.1666666666667</v>
      </c>
      <c r="D161" s="4">
        <f t="shared" si="5"/>
        <v>9197.16666666667</v>
      </c>
      <c r="E161" s="4">
        <f>IF(D161&lt;'等级-经验对照'!$B$4,0,LOOKUP(D161,'等级-经验对照'!$B$4:$B$103,'等级-经验对照'!$A$4:$A$103))</f>
        <v>59</v>
      </c>
      <c r="F161" s="3" t="str">
        <f t="shared" si="4"/>
        <v/>
      </c>
    </row>
    <row r="162" spans="1:6">
      <c r="A162" s="6">
        <f>参数说明!$B$8+158</f>
        <v>46355</v>
      </c>
      <c r="B162" s="4">
        <v>158</v>
      </c>
      <c r="C162" s="4">
        <f>IF(B162=0,0,IF(B162&lt;=7,FORECAST(B162,参数说明!$B$24:$B$25,参数说明!$A$24:$A$25),IF(B162&lt;=30,FORECAST(B162,参数说明!$B$25:$B$26,参数说明!$A$25:$A$26),IF(B162&lt;=60,FORECAST(B162,参数说明!$B$26:$B$27,参数说明!$A$26:$A$27),IF(B162&lt;=90,FORECAST(B162,参数说明!$B$27:$B$28,参数说明!$A$27:$A$28),IF(B162&lt;=180,FORECAST(B162,参数说明!$B$28:$B$29,参数说明!$A$28:$A$29),FORECAST(B162,参数说明!$B$29:$B$30,参数说明!$A$29:$A$30)))))))</f>
        <v>76.3333333333333</v>
      </c>
      <c r="D162" s="4">
        <f t="shared" si="5"/>
        <v>9273.5</v>
      </c>
      <c r="E162" s="4">
        <f>IF(D162&lt;'等级-经验对照'!$B$4,0,LOOKUP(D162,'等级-经验对照'!$B$4:$B$103,'等级-经验对照'!$A$4:$A$103))</f>
        <v>59</v>
      </c>
      <c r="F162" s="3" t="str">
        <f t="shared" si="4"/>
        <v/>
      </c>
    </row>
    <row r="163" spans="1:6">
      <c r="A163" s="6">
        <f>参数说明!$B$8+159</f>
        <v>46356</v>
      </c>
      <c r="B163" s="4">
        <v>159</v>
      </c>
      <c r="C163" s="4">
        <f>IF(B163=0,0,IF(B163&lt;=7,FORECAST(B163,参数说明!$B$24:$B$25,参数说明!$A$24:$A$25),IF(B163&lt;=30,FORECAST(B163,参数说明!$B$25:$B$26,参数说明!$A$25:$A$26),IF(B163&lt;=60,FORECAST(B163,参数说明!$B$26:$B$27,参数说明!$A$26:$A$27),IF(B163&lt;=90,FORECAST(B163,参数说明!$B$27:$B$28,参数说明!$A$27:$A$28),IF(B163&lt;=180,FORECAST(B163,参数说明!$B$28:$B$29,参数说明!$A$28:$A$29),FORECAST(B163,参数说明!$B$29:$B$30,参数说明!$A$29:$A$30)))))))</f>
        <v>76.5</v>
      </c>
      <c r="D163" s="4">
        <f t="shared" si="5"/>
        <v>9350</v>
      </c>
      <c r="E163" s="4">
        <f>IF(D163&lt;'等级-经验对照'!$B$4,0,LOOKUP(D163,'等级-经验对照'!$B$4:$B$103,'等级-经验对照'!$A$4:$A$103))</f>
        <v>59</v>
      </c>
      <c r="F163" s="3" t="str">
        <f t="shared" si="4"/>
        <v/>
      </c>
    </row>
    <row r="164" spans="1:6">
      <c r="A164" s="6">
        <f>参数说明!$B$8+160</f>
        <v>46357</v>
      </c>
      <c r="B164" s="4">
        <v>160</v>
      </c>
      <c r="C164" s="4">
        <f>IF(B164=0,0,IF(B164&lt;=7,FORECAST(B164,参数说明!$B$24:$B$25,参数说明!$A$24:$A$25),IF(B164&lt;=30,FORECAST(B164,参数说明!$B$25:$B$26,参数说明!$A$25:$A$26),IF(B164&lt;=60,FORECAST(B164,参数说明!$B$26:$B$27,参数说明!$A$26:$A$27),IF(B164&lt;=90,FORECAST(B164,参数说明!$B$27:$B$28,参数说明!$A$27:$A$28),IF(B164&lt;=180,FORECAST(B164,参数说明!$B$28:$B$29,参数说明!$A$28:$A$29),FORECAST(B164,参数说明!$B$29:$B$30,参数说明!$A$29:$A$30)))))))</f>
        <v>76.6666666666667</v>
      </c>
      <c r="D164" s="4">
        <f t="shared" si="5"/>
        <v>9426.66666666667</v>
      </c>
      <c r="E164" s="4">
        <f>IF(D164&lt;'等级-经验对照'!$B$4,0,LOOKUP(D164,'等级-经验对照'!$B$4:$B$103,'等级-经验对照'!$A$4:$A$103))</f>
        <v>60</v>
      </c>
      <c r="F164" s="3" t="str">
        <f t="shared" si="4"/>
        <v/>
      </c>
    </row>
    <row r="165" spans="1:6">
      <c r="A165" s="6">
        <f>参数说明!$B$8+161</f>
        <v>46358</v>
      </c>
      <c r="B165" s="4">
        <v>161</v>
      </c>
      <c r="C165" s="4">
        <f>IF(B165=0,0,IF(B165&lt;=7,FORECAST(B165,参数说明!$B$24:$B$25,参数说明!$A$24:$A$25),IF(B165&lt;=30,FORECAST(B165,参数说明!$B$25:$B$26,参数说明!$A$25:$A$26),IF(B165&lt;=60,FORECAST(B165,参数说明!$B$26:$B$27,参数说明!$A$26:$A$27),IF(B165&lt;=90,FORECAST(B165,参数说明!$B$27:$B$28,参数说明!$A$27:$A$28),IF(B165&lt;=180,FORECAST(B165,参数说明!$B$28:$B$29,参数说明!$A$28:$A$29),FORECAST(B165,参数说明!$B$29:$B$30,参数说明!$A$29:$A$30)))))))</f>
        <v>76.8333333333333</v>
      </c>
      <c r="D165" s="4">
        <f t="shared" si="5"/>
        <v>9503.5</v>
      </c>
      <c r="E165" s="4">
        <f>IF(D165&lt;'等级-经验对照'!$B$4,0,LOOKUP(D165,'等级-经验对照'!$B$4:$B$103,'等级-经验对照'!$A$4:$A$103))</f>
        <v>60</v>
      </c>
      <c r="F165" s="3" t="str">
        <f t="shared" si="4"/>
        <v/>
      </c>
    </row>
    <row r="166" spans="1:6">
      <c r="A166" s="6">
        <f>参数说明!$B$8+162</f>
        <v>46359</v>
      </c>
      <c r="B166" s="4">
        <v>162</v>
      </c>
      <c r="C166" s="4">
        <f>IF(B166=0,0,IF(B166&lt;=7,FORECAST(B166,参数说明!$B$24:$B$25,参数说明!$A$24:$A$25),IF(B166&lt;=30,FORECAST(B166,参数说明!$B$25:$B$26,参数说明!$A$25:$A$26),IF(B166&lt;=60,FORECAST(B166,参数说明!$B$26:$B$27,参数说明!$A$26:$A$27),IF(B166&lt;=90,FORECAST(B166,参数说明!$B$27:$B$28,参数说明!$A$27:$A$28),IF(B166&lt;=180,FORECAST(B166,参数说明!$B$28:$B$29,参数说明!$A$28:$A$29),FORECAST(B166,参数说明!$B$29:$B$30,参数说明!$A$29:$A$30)))))))</f>
        <v>77</v>
      </c>
      <c r="D166" s="4">
        <f t="shared" si="5"/>
        <v>9580.5</v>
      </c>
      <c r="E166" s="4">
        <f>IF(D166&lt;'等级-经验对照'!$B$4,0,LOOKUP(D166,'等级-经验对照'!$B$4:$B$103,'等级-经验对照'!$A$4:$A$103))</f>
        <v>60</v>
      </c>
      <c r="F166" s="3" t="str">
        <f t="shared" si="4"/>
        <v/>
      </c>
    </row>
    <row r="167" spans="1:6">
      <c r="A167" s="6">
        <f>参数说明!$B$8+163</f>
        <v>46360</v>
      </c>
      <c r="B167" s="4">
        <v>163</v>
      </c>
      <c r="C167" s="4">
        <f>IF(B167=0,0,IF(B167&lt;=7,FORECAST(B167,参数说明!$B$24:$B$25,参数说明!$A$24:$A$25),IF(B167&lt;=30,FORECAST(B167,参数说明!$B$25:$B$26,参数说明!$A$25:$A$26),IF(B167&lt;=60,FORECAST(B167,参数说明!$B$26:$B$27,参数说明!$A$26:$A$27),IF(B167&lt;=90,FORECAST(B167,参数说明!$B$27:$B$28,参数说明!$A$27:$A$28),IF(B167&lt;=180,FORECAST(B167,参数说明!$B$28:$B$29,参数说明!$A$28:$A$29),FORECAST(B167,参数说明!$B$29:$B$30,参数说明!$A$29:$A$30)))))))</f>
        <v>77.1666666666667</v>
      </c>
      <c r="D167" s="4">
        <f t="shared" si="5"/>
        <v>9657.66666666667</v>
      </c>
      <c r="E167" s="4">
        <f>IF(D167&lt;'等级-经验对照'!$B$4,0,LOOKUP(D167,'等级-经验对照'!$B$4:$B$103,'等级-经验对照'!$A$4:$A$103))</f>
        <v>60</v>
      </c>
      <c r="F167" s="3" t="str">
        <f t="shared" si="4"/>
        <v/>
      </c>
    </row>
    <row r="168" spans="1:6">
      <c r="A168" s="6">
        <f>参数说明!$B$8+164</f>
        <v>46361</v>
      </c>
      <c r="B168" s="4">
        <v>164</v>
      </c>
      <c r="C168" s="4">
        <f>IF(B168=0,0,IF(B168&lt;=7,FORECAST(B168,参数说明!$B$24:$B$25,参数说明!$A$24:$A$25),IF(B168&lt;=30,FORECAST(B168,参数说明!$B$25:$B$26,参数说明!$A$25:$A$26),IF(B168&lt;=60,FORECAST(B168,参数说明!$B$26:$B$27,参数说明!$A$26:$A$27),IF(B168&lt;=90,FORECAST(B168,参数说明!$B$27:$B$28,参数说明!$A$27:$A$28),IF(B168&lt;=180,FORECAST(B168,参数说明!$B$28:$B$29,参数说明!$A$28:$A$29),FORECAST(B168,参数说明!$B$29:$B$30,参数说明!$A$29:$A$30)))))))</f>
        <v>77.3333333333333</v>
      </c>
      <c r="D168" s="4">
        <f t="shared" si="5"/>
        <v>9735</v>
      </c>
      <c r="E168" s="4">
        <f>IF(D168&lt;'等级-经验对照'!$B$4,0,LOOKUP(D168,'等级-经验对照'!$B$4:$B$103,'等级-经验对照'!$A$4:$A$103))</f>
        <v>61</v>
      </c>
      <c r="F168" s="3" t="str">
        <f t="shared" si="4"/>
        <v/>
      </c>
    </row>
    <row r="169" spans="1:6">
      <c r="A169" s="6">
        <f>参数说明!$B$8+165</f>
        <v>46362</v>
      </c>
      <c r="B169" s="4">
        <v>165</v>
      </c>
      <c r="C169" s="4">
        <f>IF(B169=0,0,IF(B169&lt;=7,FORECAST(B169,参数说明!$B$24:$B$25,参数说明!$A$24:$A$25),IF(B169&lt;=30,FORECAST(B169,参数说明!$B$25:$B$26,参数说明!$A$25:$A$26),IF(B169&lt;=60,FORECAST(B169,参数说明!$B$26:$B$27,参数说明!$A$26:$A$27),IF(B169&lt;=90,FORECAST(B169,参数说明!$B$27:$B$28,参数说明!$A$27:$A$28),IF(B169&lt;=180,FORECAST(B169,参数说明!$B$28:$B$29,参数说明!$A$28:$A$29),FORECAST(B169,参数说明!$B$29:$B$30,参数说明!$A$29:$A$30)))))))</f>
        <v>77.5</v>
      </c>
      <c r="D169" s="4">
        <f t="shared" si="5"/>
        <v>9812.5</v>
      </c>
      <c r="E169" s="4">
        <f>IF(D169&lt;'等级-经验对照'!$B$4,0,LOOKUP(D169,'等级-经验对照'!$B$4:$B$103,'等级-经验对照'!$A$4:$A$103))</f>
        <v>61</v>
      </c>
      <c r="F169" s="3" t="str">
        <f t="shared" si="4"/>
        <v/>
      </c>
    </row>
    <row r="170" spans="1:6">
      <c r="A170" s="6">
        <f>参数说明!$B$8+166</f>
        <v>46363</v>
      </c>
      <c r="B170" s="4">
        <v>166</v>
      </c>
      <c r="C170" s="4">
        <f>IF(B170=0,0,IF(B170&lt;=7,FORECAST(B170,参数说明!$B$24:$B$25,参数说明!$A$24:$A$25),IF(B170&lt;=30,FORECAST(B170,参数说明!$B$25:$B$26,参数说明!$A$25:$A$26),IF(B170&lt;=60,FORECAST(B170,参数说明!$B$26:$B$27,参数说明!$A$26:$A$27),IF(B170&lt;=90,FORECAST(B170,参数说明!$B$27:$B$28,参数说明!$A$27:$A$28),IF(B170&lt;=180,FORECAST(B170,参数说明!$B$28:$B$29,参数说明!$A$28:$A$29),FORECAST(B170,参数说明!$B$29:$B$30,参数说明!$A$29:$A$30)))))))</f>
        <v>77.6666666666667</v>
      </c>
      <c r="D170" s="4">
        <f t="shared" si="5"/>
        <v>9890.16666666667</v>
      </c>
      <c r="E170" s="4">
        <f>IF(D170&lt;'等级-经验对照'!$B$4,0,LOOKUP(D170,'等级-经验对照'!$B$4:$B$103,'等级-经验对照'!$A$4:$A$103))</f>
        <v>61</v>
      </c>
      <c r="F170" s="3" t="str">
        <f t="shared" si="4"/>
        <v/>
      </c>
    </row>
    <row r="171" spans="1:6">
      <c r="A171" s="6">
        <f>参数说明!$B$8+167</f>
        <v>46364</v>
      </c>
      <c r="B171" s="4">
        <v>167</v>
      </c>
      <c r="C171" s="4">
        <f>IF(B171=0,0,IF(B171&lt;=7,FORECAST(B171,参数说明!$B$24:$B$25,参数说明!$A$24:$A$25),IF(B171&lt;=30,FORECAST(B171,参数说明!$B$25:$B$26,参数说明!$A$25:$A$26),IF(B171&lt;=60,FORECAST(B171,参数说明!$B$26:$B$27,参数说明!$A$26:$A$27),IF(B171&lt;=90,FORECAST(B171,参数说明!$B$27:$B$28,参数说明!$A$27:$A$28),IF(B171&lt;=180,FORECAST(B171,参数说明!$B$28:$B$29,参数说明!$A$28:$A$29),FORECAST(B171,参数说明!$B$29:$B$30,参数说明!$A$29:$A$30)))))))</f>
        <v>77.8333333333333</v>
      </c>
      <c r="D171" s="4">
        <f t="shared" si="5"/>
        <v>9968</v>
      </c>
      <c r="E171" s="4">
        <f>IF(D171&lt;'等级-经验对照'!$B$4,0,LOOKUP(D171,'等级-经验对照'!$B$4:$B$103,'等级-经验对照'!$A$4:$A$103))</f>
        <v>61</v>
      </c>
      <c r="F171" s="3" t="str">
        <f t="shared" si="4"/>
        <v/>
      </c>
    </row>
    <row r="172" spans="1:6">
      <c r="A172" s="6">
        <f>参数说明!$B$8+168</f>
        <v>46365</v>
      </c>
      <c r="B172" s="4">
        <v>168</v>
      </c>
      <c r="C172" s="4">
        <f>IF(B172=0,0,IF(B172&lt;=7,FORECAST(B172,参数说明!$B$24:$B$25,参数说明!$A$24:$A$25),IF(B172&lt;=30,FORECAST(B172,参数说明!$B$25:$B$26,参数说明!$A$25:$A$26),IF(B172&lt;=60,FORECAST(B172,参数说明!$B$26:$B$27,参数说明!$A$26:$A$27),IF(B172&lt;=90,FORECAST(B172,参数说明!$B$27:$B$28,参数说明!$A$27:$A$28),IF(B172&lt;=180,FORECAST(B172,参数说明!$B$28:$B$29,参数说明!$A$28:$A$29),FORECAST(B172,参数说明!$B$29:$B$30,参数说明!$A$29:$A$30)))))))</f>
        <v>78</v>
      </c>
      <c r="D172" s="4">
        <f t="shared" si="5"/>
        <v>10046</v>
      </c>
      <c r="E172" s="4">
        <f>IF(D172&lt;'等级-经验对照'!$B$4,0,LOOKUP(D172,'等级-经验对照'!$B$4:$B$103,'等级-经验对照'!$A$4:$A$103))</f>
        <v>62</v>
      </c>
      <c r="F172" s="3" t="str">
        <f t="shared" si="4"/>
        <v/>
      </c>
    </row>
    <row r="173" spans="1:6">
      <c r="A173" s="6">
        <f>参数说明!$B$8+169</f>
        <v>46366</v>
      </c>
      <c r="B173" s="4">
        <v>169</v>
      </c>
      <c r="C173" s="4">
        <f>IF(B173=0,0,IF(B173&lt;=7,FORECAST(B173,参数说明!$B$24:$B$25,参数说明!$A$24:$A$25),IF(B173&lt;=30,FORECAST(B173,参数说明!$B$25:$B$26,参数说明!$A$25:$A$26),IF(B173&lt;=60,FORECAST(B173,参数说明!$B$26:$B$27,参数说明!$A$26:$A$27),IF(B173&lt;=90,FORECAST(B173,参数说明!$B$27:$B$28,参数说明!$A$27:$A$28),IF(B173&lt;=180,FORECAST(B173,参数说明!$B$28:$B$29,参数说明!$A$28:$A$29),FORECAST(B173,参数说明!$B$29:$B$30,参数说明!$A$29:$A$30)))))))</f>
        <v>78.1666666666667</v>
      </c>
      <c r="D173" s="4">
        <f t="shared" si="5"/>
        <v>10124.1666666667</v>
      </c>
      <c r="E173" s="4">
        <f>IF(D173&lt;'等级-经验对照'!$B$4,0,LOOKUP(D173,'等级-经验对照'!$B$4:$B$103,'等级-经验对照'!$A$4:$A$103))</f>
        <v>62</v>
      </c>
      <c r="F173" s="3" t="str">
        <f t="shared" si="4"/>
        <v/>
      </c>
    </row>
    <row r="174" spans="1:6">
      <c r="A174" s="6">
        <f>参数说明!$B$8+170</f>
        <v>46367</v>
      </c>
      <c r="B174" s="4">
        <v>170</v>
      </c>
      <c r="C174" s="4">
        <f>IF(B174=0,0,IF(B174&lt;=7,FORECAST(B174,参数说明!$B$24:$B$25,参数说明!$A$24:$A$25),IF(B174&lt;=30,FORECAST(B174,参数说明!$B$25:$B$26,参数说明!$A$25:$A$26),IF(B174&lt;=60,FORECAST(B174,参数说明!$B$26:$B$27,参数说明!$A$26:$A$27),IF(B174&lt;=90,FORECAST(B174,参数说明!$B$27:$B$28,参数说明!$A$27:$A$28),IF(B174&lt;=180,FORECAST(B174,参数说明!$B$28:$B$29,参数说明!$A$28:$A$29),FORECAST(B174,参数说明!$B$29:$B$30,参数说明!$A$29:$A$30)))))))</f>
        <v>78.3333333333333</v>
      </c>
      <c r="D174" s="4">
        <f t="shared" si="5"/>
        <v>10202.5</v>
      </c>
      <c r="E174" s="4">
        <f>IF(D174&lt;'等级-经验对照'!$B$4,0,LOOKUP(D174,'等级-经验对照'!$B$4:$B$103,'等级-经验对照'!$A$4:$A$103))</f>
        <v>62</v>
      </c>
      <c r="F174" s="3" t="str">
        <f t="shared" si="4"/>
        <v/>
      </c>
    </row>
    <row r="175" spans="1:6">
      <c r="A175" s="6">
        <f>参数说明!$B$8+171</f>
        <v>46368</v>
      </c>
      <c r="B175" s="4">
        <v>171</v>
      </c>
      <c r="C175" s="4">
        <f>IF(B175=0,0,IF(B175&lt;=7,FORECAST(B175,参数说明!$B$24:$B$25,参数说明!$A$24:$A$25),IF(B175&lt;=30,FORECAST(B175,参数说明!$B$25:$B$26,参数说明!$A$25:$A$26),IF(B175&lt;=60,FORECAST(B175,参数说明!$B$26:$B$27,参数说明!$A$26:$A$27),IF(B175&lt;=90,FORECAST(B175,参数说明!$B$27:$B$28,参数说明!$A$27:$A$28),IF(B175&lt;=180,FORECAST(B175,参数说明!$B$28:$B$29,参数说明!$A$28:$A$29),FORECAST(B175,参数说明!$B$29:$B$30,参数说明!$A$29:$A$30)))))))</f>
        <v>78.5</v>
      </c>
      <c r="D175" s="4">
        <f t="shared" si="5"/>
        <v>10281</v>
      </c>
      <c r="E175" s="4">
        <f>IF(D175&lt;'等级-经验对照'!$B$4,0,LOOKUP(D175,'等级-经验对照'!$B$4:$B$103,'等级-经验对照'!$A$4:$A$103))</f>
        <v>62</v>
      </c>
      <c r="F175" s="3" t="str">
        <f t="shared" si="4"/>
        <v/>
      </c>
    </row>
    <row r="176" spans="1:6">
      <c r="A176" s="6">
        <f>参数说明!$B$8+172</f>
        <v>46369</v>
      </c>
      <c r="B176" s="4">
        <v>172</v>
      </c>
      <c r="C176" s="4">
        <f>IF(B176=0,0,IF(B176&lt;=7,FORECAST(B176,参数说明!$B$24:$B$25,参数说明!$A$24:$A$25),IF(B176&lt;=30,FORECAST(B176,参数说明!$B$25:$B$26,参数说明!$A$25:$A$26),IF(B176&lt;=60,FORECAST(B176,参数说明!$B$26:$B$27,参数说明!$A$26:$A$27),IF(B176&lt;=90,FORECAST(B176,参数说明!$B$27:$B$28,参数说明!$A$27:$A$28),IF(B176&lt;=180,FORECAST(B176,参数说明!$B$28:$B$29,参数说明!$A$28:$A$29),FORECAST(B176,参数说明!$B$29:$B$30,参数说明!$A$29:$A$30)))))))</f>
        <v>78.6666666666667</v>
      </c>
      <c r="D176" s="4">
        <f t="shared" si="5"/>
        <v>10359.6666666667</v>
      </c>
      <c r="E176" s="4">
        <f>IF(D176&lt;'等级-经验对照'!$B$4,0,LOOKUP(D176,'等级-经验对照'!$B$4:$B$103,'等级-经验对照'!$A$4:$A$103))</f>
        <v>63</v>
      </c>
      <c r="F176" s="3" t="str">
        <f t="shared" si="4"/>
        <v/>
      </c>
    </row>
    <row r="177" spans="1:6">
      <c r="A177" s="6">
        <f>参数说明!$B$8+173</f>
        <v>46370</v>
      </c>
      <c r="B177" s="4">
        <v>173</v>
      </c>
      <c r="C177" s="4">
        <f>IF(B177=0,0,IF(B177&lt;=7,FORECAST(B177,参数说明!$B$24:$B$25,参数说明!$A$24:$A$25),IF(B177&lt;=30,FORECAST(B177,参数说明!$B$25:$B$26,参数说明!$A$25:$A$26),IF(B177&lt;=60,FORECAST(B177,参数说明!$B$26:$B$27,参数说明!$A$26:$A$27),IF(B177&lt;=90,FORECAST(B177,参数说明!$B$27:$B$28,参数说明!$A$27:$A$28),IF(B177&lt;=180,FORECAST(B177,参数说明!$B$28:$B$29,参数说明!$A$28:$A$29),FORECAST(B177,参数说明!$B$29:$B$30,参数说明!$A$29:$A$30)))))))</f>
        <v>78.8333333333333</v>
      </c>
      <c r="D177" s="4">
        <f t="shared" si="5"/>
        <v>10438.5</v>
      </c>
      <c r="E177" s="4">
        <f>IF(D177&lt;'等级-经验对照'!$B$4,0,LOOKUP(D177,'等级-经验对照'!$B$4:$B$103,'等级-经验对照'!$A$4:$A$103))</f>
        <v>63</v>
      </c>
      <c r="F177" s="3" t="str">
        <f t="shared" si="4"/>
        <v/>
      </c>
    </row>
    <row r="178" spans="1:6">
      <c r="A178" s="6">
        <f>参数说明!$B$8+174</f>
        <v>46371</v>
      </c>
      <c r="B178" s="4">
        <v>174</v>
      </c>
      <c r="C178" s="4">
        <f>IF(B178=0,0,IF(B178&lt;=7,FORECAST(B178,参数说明!$B$24:$B$25,参数说明!$A$24:$A$25),IF(B178&lt;=30,FORECAST(B178,参数说明!$B$25:$B$26,参数说明!$A$25:$A$26),IF(B178&lt;=60,FORECAST(B178,参数说明!$B$26:$B$27,参数说明!$A$26:$A$27),IF(B178&lt;=90,FORECAST(B178,参数说明!$B$27:$B$28,参数说明!$A$27:$A$28),IF(B178&lt;=180,FORECAST(B178,参数说明!$B$28:$B$29,参数说明!$A$28:$A$29),FORECAST(B178,参数说明!$B$29:$B$30,参数说明!$A$29:$A$30)))))))</f>
        <v>79</v>
      </c>
      <c r="D178" s="4">
        <f t="shared" si="5"/>
        <v>10517.5</v>
      </c>
      <c r="E178" s="4">
        <f>IF(D178&lt;'等级-经验对照'!$B$4,0,LOOKUP(D178,'等级-经验对照'!$B$4:$B$103,'等级-经验对照'!$A$4:$A$103))</f>
        <v>63</v>
      </c>
      <c r="F178" s="3" t="str">
        <f t="shared" si="4"/>
        <v/>
      </c>
    </row>
    <row r="179" spans="1:6">
      <c r="A179" s="6">
        <f>参数说明!$B$8+175</f>
        <v>46372</v>
      </c>
      <c r="B179" s="4">
        <v>175</v>
      </c>
      <c r="C179" s="4">
        <f>IF(B179=0,0,IF(B179&lt;=7,FORECAST(B179,参数说明!$B$24:$B$25,参数说明!$A$24:$A$25),IF(B179&lt;=30,FORECAST(B179,参数说明!$B$25:$B$26,参数说明!$A$25:$A$26),IF(B179&lt;=60,FORECAST(B179,参数说明!$B$26:$B$27,参数说明!$A$26:$A$27),IF(B179&lt;=90,FORECAST(B179,参数说明!$B$27:$B$28,参数说明!$A$27:$A$28),IF(B179&lt;=180,FORECAST(B179,参数说明!$B$28:$B$29,参数说明!$A$28:$A$29),FORECAST(B179,参数说明!$B$29:$B$30,参数说明!$A$29:$A$30)))))))</f>
        <v>79.1666666666667</v>
      </c>
      <c r="D179" s="4">
        <f t="shared" si="5"/>
        <v>10596.6666666667</v>
      </c>
      <c r="E179" s="4">
        <f>IF(D179&lt;'等级-经验对照'!$B$4,0,LOOKUP(D179,'等级-经验对照'!$B$4:$B$103,'等级-经验对照'!$A$4:$A$103))</f>
        <v>63</v>
      </c>
      <c r="F179" s="3" t="str">
        <f t="shared" si="4"/>
        <v/>
      </c>
    </row>
    <row r="180" spans="1:6">
      <c r="A180" s="6">
        <f>参数说明!$B$8+176</f>
        <v>46373</v>
      </c>
      <c r="B180" s="4">
        <v>176</v>
      </c>
      <c r="C180" s="4">
        <f>IF(B180=0,0,IF(B180&lt;=7,FORECAST(B180,参数说明!$B$24:$B$25,参数说明!$A$24:$A$25),IF(B180&lt;=30,FORECAST(B180,参数说明!$B$25:$B$26,参数说明!$A$25:$A$26),IF(B180&lt;=60,FORECAST(B180,参数说明!$B$26:$B$27,参数说明!$A$26:$A$27),IF(B180&lt;=90,FORECAST(B180,参数说明!$B$27:$B$28,参数说明!$A$27:$A$28),IF(B180&lt;=180,FORECAST(B180,参数说明!$B$28:$B$29,参数说明!$A$28:$A$29),FORECAST(B180,参数说明!$B$29:$B$30,参数说明!$A$29:$A$30)))))))</f>
        <v>79.3333333333333</v>
      </c>
      <c r="D180" s="4">
        <f t="shared" si="5"/>
        <v>10676</v>
      </c>
      <c r="E180" s="4">
        <f>IF(D180&lt;'等级-经验对照'!$B$4,0,LOOKUP(D180,'等级-经验对照'!$B$4:$B$103,'等级-经验对照'!$A$4:$A$103))</f>
        <v>64</v>
      </c>
      <c r="F180" s="3" t="str">
        <f t="shared" si="4"/>
        <v/>
      </c>
    </row>
    <row r="181" spans="1:6">
      <c r="A181" s="6">
        <f>参数说明!$B$8+177</f>
        <v>46374</v>
      </c>
      <c r="B181" s="4">
        <v>177</v>
      </c>
      <c r="C181" s="4">
        <f>IF(B181=0,0,IF(B181&lt;=7,FORECAST(B181,参数说明!$B$24:$B$25,参数说明!$A$24:$A$25),IF(B181&lt;=30,FORECAST(B181,参数说明!$B$25:$B$26,参数说明!$A$25:$A$26),IF(B181&lt;=60,FORECAST(B181,参数说明!$B$26:$B$27,参数说明!$A$26:$A$27),IF(B181&lt;=90,FORECAST(B181,参数说明!$B$27:$B$28,参数说明!$A$27:$A$28),IF(B181&lt;=180,FORECAST(B181,参数说明!$B$28:$B$29,参数说明!$A$28:$A$29),FORECAST(B181,参数说明!$B$29:$B$30,参数说明!$A$29:$A$30)))))))</f>
        <v>79.5</v>
      </c>
      <c r="D181" s="4">
        <f t="shared" si="5"/>
        <v>10755.5</v>
      </c>
      <c r="E181" s="4">
        <f>IF(D181&lt;'等级-经验对照'!$B$4,0,LOOKUP(D181,'等级-经验对照'!$B$4:$B$103,'等级-经验对照'!$A$4:$A$103))</f>
        <v>64</v>
      </c>
      <c r="F181" s="3" t="str">
        <f t="shared" si="4"/>
        <v/>
      </c>
    </row>
    <row r="182" spans="1:6">
      <c r="A182" s="6">
        <f>参数说明!$B$8+178</f>
        <v>46375</v>
      </c>
      <c r="B182" s="4">
        <v>178</v>
      </c>
      <c r="C182" s="4">
        <f>IF(B182=0,0,IF(B182&lt;=7,FORECAST(B182,参数说明!$B$24:$B$25,参数说明!$A$24:$A$25),IF(B182&lt;=30,FORECAST(B182,参数说明!$B$25:$B$26,参数说明!$A$25:$A$26),IF(B182&lt;=60,FORECAST(B182,参数说明!$B$26:$B$27,参数说明!$A$26:$A$27),IF(B182&lt;=90,FORECAST(B182,参数说明!$B$27:$B$28,参数说明!$A$27:$A$28),IF(B182&lt;=180,FORECAST(B182,参数说明!$B$28:$B$29,参数说明!$A$28:$A$29),FORECAST(B182,参数说明!$B$29:$B$30,参数说明!$A$29:$A$30)))))))</f>
        <v>79.6666666666667</v>
      </c>
      <c r="D182" s="4">
        <f t="shared" si="5"/>
        <v>10835.1666666667</v>
      </c>
      <c r="E182" s="4">
        <f>IF(D182&lt;'等级-经验对照'!$B$4,0,LOOKUP(D182,'等级-经验对照'!$B$4:$B$103,'等级-经验对照'!$A$4:$A$103))</f>
        <v>64</v>
      </c>
      <c r="F182" s="3" t="str">
        <f t="shared" si="4"/>
        <v/>
      </c>
    </row>
    <row r="183" spans="1:6">
      <c r="A183" s="6">
        <f>参数说明!$B$8+179</f>
        <v>46376</v>
      </c>
      <c r="B183" s="4">
        <v>179</v>
      </c>
      <c r="C183" s="4">
        <f>IF(B183=0,0,IF(B183&lt;=7,FORECAST(B183,参数说明!$B$24:$B$25,参数说明!$A$24:$A$25),IF(B183&lt;=30,FORECAST(B183,参数说明!$B$25:$B$26,参数说明!$A$25:$A$26),IF(B183&lt;=60,FORECAST(B183,参数说明!$B$26:$B$27,参数说明!$A$26:$A$27),IF(B183&lt;=90,FORECAST(B183,参数说明!$B$27:$B$28,参数说明!$A$27:$A$28),IF(B183&lt;=180,FORECAST(B183,参数说明!$B$28:$B$29,参数说明!$A$28:$A$29),FORECAST(B183,参数说明!$B$29:$B$30,参数说明!$A$29:$A$30)))))))</f>
        <v>79.8333333333333</v>
      </c>
      <c r="D183" s="4">
        <f t="shared" si="5"/>
        <v>10915</v>
      </c>
      <c r="E183" s="4">
        <f>IF(D183&lt;'等级-经验对照'!$B$4,0,LOOKUP(D183,'等级-经验对照'!$B$4:$B$103,'等级-经验对照'!$A$4:$A$103))</f>
        <v>64</v>
      </c>
      <c r="F183" s="3" t="str">
        <f t="shared" si="4"/>
        <v/>
      </c>
    </row>
    <row r="184" spans="1:6">
      <c r="A184" s="6">
        <f>参数说明!$B$8+180</f>
        <v>46377</v>
      </c>
      <c r="B184" s="4">
        <v>180</v>
      </c>
      <c r="C184" s="4">
        <f>IF(B184=0,0,IF(B184&lt;=7,FORECAST(B184,参数说明!$B$24:$B$25,参数说明!$A$24:$A$25),IF(B184&lt;=30,FORECAST(B184,参数说明!$B$25:$B$26,参数说明!$A$25:$A$26),IF(B184&lt;=60,FORECAST(B184,参数说明!$B$26:$B$27,参数说明!$A$26:$A$27),IF(B184&lt;=90,FORECAST(B184,参数说明!$B$27:$B$28,参数说明!$A$27:$A$28),IF(B184&lt;=180,FORECAST(B184,参数说明!$B$28:$B$29,参数说明!$A$28:$A$29),FORECAST(B184,参数说明!$B$29:$B$30,参数说明!$A$29:$A$30)))))))</f>
        <v>80</v>
      </c>
      <c r="D184" s="4">
        <f t="shared" si="5"/>
        <v>10995</v>
      </c>
      <c r="E184" s="4">
        <f>IF(D184&lt;'等级-经验对照'!$B$4,0,LOOKUP(D184,'等级-经验对照'!$B$4:$B$103,'等级-经验对照'!$A$4:$A$103))</f>
        <v>65</v>
      </c>
      <c r="F184" s="3" t="str">
        <f t="shared" si="4"/>
        <v>D180 / Lv65 / 10995 XP</v>
      </c>
    </row>
    <row r="185" spans="1:6">
      <c r="A185" s="6">
        <f>参数说明!$B$8+181</f>
        <v>46378</v>
      </c>
      <c r="B185" s="4">
        <v>181</v>
      </c>
      <c r="C185" s="4">
        <f>IF(B185=0,0,IF(B185&lt;=7,FORECAST(B185,参数说明!$B$24:$B$25,参数说明!$A$24:$A$25),IF(B185&lt;=30,FORECAST(B185,参数说明!$B$25:$B$26,参数说明!$A$25:$A$26),IF(B185&lt;=60,FORECAST(B185,参数说明!$B$26:$B$27,参数说明!$A$26:$A$27),IF(B185&lt;=90,FORECAST(B185,参数说明!$B$27:$B$28,参数说明!$A$27:$A$28),IF(B185&lt;=180,FORECAST(B185,参数说明!$B$28:$B$29,参数说明!$A$28:$A$29),FORECAST(B185,参数说明!$B$29:$B$30,参数说明!$A$29:$A$30)))))))</f>
        <v>80.1081081081081</v>
      </c>
      <c r="D185" s="4">
        <f t="shared" si="5"/>
        <v>11075.1081081081</v>
      </c>
      <c r="E185" s="4">
        <f>IF(D185&lt;'等级-经验对照'!$B$4,0,LOOKUP(D185,'等级-经验对照'!$B$4:$B$103,'等级-经验对照'!$A$4:$A$103))</f>
        <v>65</v>
      </c>
      <c r="F185" s="3" t="str">
        <f t="shared" si="4"/>
        <v/>
      </c>
    </row>
    <row r="186" spans="1:6">
      <c r="A186" s="6">
        <f>参数说明!$B$8+182</f>
        <v>46379</v>
      </c>
      <c r="B186" s="4">
        <v>182</v>
      </c>
      <c r="C186" s="4">
        <f>IF(B186=0,0,IF(B186&lt;=7,FORECAST(B186,参数说明!$B$24:$B$25,参数说明!$A$24:$A$25),IF(B186&lt;=30,FORECAST(B186,参数说明!$B$25:$B$26,参数说明!$A$25:$A$26),IF(B186&lt;=60,FORECAST(B186,参数说明!$B$26:$B$27,参数说明!$A$26:$A$27),IF(B186&lt;=90,FORECAST(B186,参数说明!$B$27:$B$28,参数说明!$A$27:$A$28),IF(B186&lt;=180,FORECAST(B186,参数说明!$B$28:$B$29,参数说明!$A$28:$A$29),FORECAST(B186,参数说明!$B$29:$B$30,参数说明!$A$29:$A$30)))))))</f>
        <v>80.2162162162162</v>
      </c>
      <c r="D186" s="4">
        <f t="shared" si="5"/>
        <v>11155.3243243243</v>
      </c>
      <c r="E186" s="4">
        <f>IF(D186&lt;'等级-经验对照'!$B$4,0,LOOKUP(D186,'等级-经验对照'!$B$4:$B$103,'等级-经验对照'!$A$4:$A$103))</f>
        <v>65</v>
      </c>
      <c r="F186" s="3" t="str">
        <f t="shared" si="4"/>
        <v/>
      </c>
    </row>
    <row r="187" spans="1:6">
      <c r="A187" s="6">
        <f>参数说明!$B$8+183</f>
        <v>46380</v>
      </c>
      <c r="B187" s="4">
        <v>183</v>
      </c>
      <c r="C187" s="4">
        <f>IF(B187=0,0,IF(B187&lt;=7,FORECAST(B187,参数说明!$B$24:$B$25,参数说明!$A$24:$A$25),IF(B187&lt;=30,FORECAST(B187,参数说明!$B$25:$B$26,参数说明!$A$25:$A$26),IF(B187&lt;=60,FORECAST(B187,参数说明!$B$26:$B$27,参数说明!$A$26:$A$27),IF(B187&lt;=90,FORECAST(B187,参数说明!$B$27:$B$28,参数说明!$A$27:$A$28),IF(B187&lt;=180,FORECAST(B187,参数说明!$B$28:$B$29,参数说明!$A$28:$A$29),FORECAST(B187,参数说明!$B$29:$B$30,参数说明!$A$29:$A$30)))))))</f>
        <v>80.3243243243243</v>
      </c>
      <c r="D187" s="4">
        <f t="shared" si="5"/>
        <v>11235.6486486487</v>
      </c>
      <c r="E187" s="4">
        <f>IF(D187&lt;'等级-经验对照'!$B$4,0,LOOKUP(D187,'等级-经验对照'!$B$4:$B$103,'等级-经验对照'!$A$4:$A$103))</f>
        <v>65</v>
      </c>
      <c r="F187" s="3" t="str">
        <f t="shared" si="4"/>
        <v/>
      </c>
    </row>
    <row r="188" spans="1:6">
      <c r="A188" s="6">
        <f>参数说明!$B$8+184</f>
        <v>46381</v>
      </c>
      <c r="B188" s="4">
        <v>184</v>
      </c>
      <c r="C188" s="4">
        <f>IF(B188=0,0,IF(B188&lt;=7,FORECAST(B188,参数说明!$B$24:$B$25,参数说明!$A$24:$A$25),IF(B188&lt;=30,FORECAST(B188,参数说明!$B$25:$B$26,参数说明!$A$25:$A$26),IF(B188&lt;=60,FORECAST(B188,参数说明!$B$26:$B$27,参数说明!$A$26:$A$27),IF(B188&lt;=90,FORECAST(B188,参数说明!$B$27:$B$28,参数说明!$A$27:$A$28),IF(B188&lt;=180,FORECAST(B188,参数说明!$B$28:$B$29,参数说明!$A$28:$A$29),FORECAST(B188,参数说明!$B$29:$B$30,参数说明!$A$29:$A$30)))))))</f>
        <v>80.4324324324324</v>
      </c>
      <c r="D188" s="4">
        <f t="shared" si="5"/>
        <v>11316.0810810811</v>
      </c>
      <c r="E188" s="4">
        <f>IF(D188&lt;'等级-经验对照'!$B$4,0,LOOKUP(D188,'等级-经验对照'!$B$4:$B$103,'等级-经验对照'!$A$4:$A$103))</f>
        <v>65</v>
      </c>
      <c r="F188" s="3" t="str">
        <f t="shared" si="4"/>
        <v/>
      </c>
    </row>
    <row r="189" spans="1:6">
      <c r="A189" s="6">
        <f>参数说明!$B$8+185</f>
        <v>46382</v>
      </c>
      <c r="B189" s="4">
        <v>185</v>
      </c>
      <c r="C189" s="4">
        <f>IF(B189=0,0,IF(B189&lt;=7,FORECAST(B189,参数说明!$B$24:$B$25,参数说明!$A$24:$A$25),IF(B189&lt;=30,FORECAST(B189,参数说明!$B$25:$B$26,参数说明!$A$25:$A$26),IF(B189&lt;=60,FORECAST(B189,参数说明!$B$26:$B$27,参数说明!$A$26:$A$27),IF(B189&lt;=90,FORECAST(B189,参数说明!$B$27:$B$28,参数说明!$A$27:$A$28),IF(B189&lt;=180,FORECAST(B189,参数说明!$B$28:$B$29,参数说明!$A$28:$A$29),FORECAST(B189,参数说明!$B$29:$B$30,参数说明!$A$29:$A$30)))))))</f>
        <v>80.5405405405405</v>
      </c>
      <c r="D189" s="4">
        <f t="shared" si="5"/>
        <v>11396.6216216216</v>
      </c>
      <c r="E189" s="4">
        <f>IF(D189&lt;'等级-经验对照'!$B$4,0,LOOKUP(D189,'等级-经验对照'!$B$4:$B$103,'等级-经验对照'!$A$4:$A$103))</f>
        <v>65</v>
      </c>
      <c r="F189" s="3" t="str">
        <f t="shared" si="4"/>
        <v/>
      </c>
    </row>
    <row r="190" spans="1:6">
      <c r="A190" s="6">
        <f>参数说明!$B$8+186</f>
        <v>46383</v>
      </c>
      <c r="B190" s="4">
        <v>186</v>
      </c>
      <c r="C190" s="4">
        <f>IF(B190=0,0,IF(B190&lt;=7,FORECAST(B190,参数说明!$B$24:$B$25,参数说明!$A$24:$A$25),IF(B190&lt;=30,FORECAST(B190,参数说明!$B$25:$B$26,参数说明!$A$25:$A$26),IF(B190&lt;=60,FORECAST(B190,参数说明!$B$26:$B$27,参数说明!$A$26:$A$27),IF(B190&lt;=90,FORECAST(B190,参数说明!$B$27:$B$28,参数说明!$A$27:$A$28),IF(B190&lt;=180,FORECAST(B190,参数说明!$B$28:$B$29,参数说明!$A$28:$A$29),FORECAST(B190,参数说明!$B$29:$B$30,参数说明!$A$29:$A$30)))))))</f>
        <v>80.6486486486486</v>
      </c>
      <c r="D190" s="4">
        <f t="shared" si="5"/>
        <v>11477.2702702703</v>
      </c>
      <c r="E190" s="4">
        <f>IF(D190&lt;'等级-经验对照'!$B$4,0,LOOKUP(D190,'等级-经验对照'!$B$4:$B$103,'等级-经验对照'!$A$4:$A$103))</f>
        <v>66</v>
      </c>
      <c r="F190" s="3" t="str">
        <f t="shared" si="4"/>
        <v/>
      </c>
    </row>
    <row r="191" spans="1:6">
      <c r="A191" s="6">
        <f>参数说明!$B$8+187</f>
        <v>46384</v>
      </c>
      <c r="B191" s="4">
        <v>187</v>
      </c>
      <c r="C191" s="4">
        <f>IF(B191=0,0,IF(B191&lt;=7,FORECAST(B191,参数说明!$B$24:$B$25,参数说明!$A$24:$A$25),IF(B191&lt;=30,FORECAST(B191,参数说明!$B$25:$B$26,参数说明!$A$25:$A$26),IF(B191&lt;=60,FORECAST(B191,参数说明!$B$26:$B$27,参数说明!$A$26:$A$27),IF(B191&lt;=90,FORECAST(B191,参数说明!$B$27:$B$28,参数说明!$A$27:$A$28),IF(B191&lt;=180,FORECAST(B191,参数说明!$B$28:$B$29,参数说明!$A$28:$A$29),FORECAST(B191,参数说明!$B$29:$B$30,参数说明!$A$29:$A$30)))))))</f>
        <v>80.7567567567568</v>
      </c>
      <c r="D191" s="4">
        <f t="shared" si="5"/>
        <v>11558.027027027</v>
      </c>
      <c r="E191" s="4">
        <f>IF(D191&lt;'等级-经验对照'!$B$4,0,LOOKUP(D191,'等级-经验对照'!$B$4:$B$103,'等级-经验对照'!$A$4:$A$103))</f>
        <v>66</v>
      </c>
      <c r="F191" s="3" t="str">
        <f t="shared" si="4"/>
        <v/>
      </c>
    </row>
    <row r="192" spans="1:6">
      <c r="A192" s="6">
        <f>参数说明!$B$8+188</f>
        <v>46385</v>
      </c>
      <c r="B192" s="4">
        <v>188</v>
      </c>
      <c r="C192" s="4">
        <f>IF(B192=0,0,IF(B192&lt;=7,FORECAST(B192,参数说明!$B$24:$B$25,参数说明!$A$24:$A$25),IF(B192&lt;=30,FORECAST(B192,参数说明!$B$25:$B$26,参数说明!$A$25:$A$26),IF(B192&lt;=60,FORECAST(B192,参数说明!$B$26:$B$27,参数说明!$A$26:$A$27),IF(B192&lt;=90,FORECAST(B192,参数说明!$B$27:$B$28,参数说明!$A$27:$A$28),IF(B192&lt;=180,FORECAST(B192,参数说明!$B$28:$B$29,参数说明!$A$28:$A$29),FORECAST(B192,参数说明!$B$29:$B$30,参数说明!$A$29:$A$30)))))))</f>
        <v>80.8648648648649</v>
      </c>
      <c r="D192" s="4">
        <f t="shared" si="5"/>
        <v>11638.8918918919</v>
      </c>
      <c r="E192" s="4">
        <f>IF(D192&lt;'等级-经验对照'!$B$4,0,LOOKUP(D192,'等级-经验对照'!$B$4:$B$103,'等级-经验对照'!$A$4:$A$103))</f>
        <v>66</v>
      </c>
      <c r="F192" s="3" t="str">
        <f t="shared" si="4"/>
        <v/>
      </c>
    </row>
    <row r="193" spans="1:6">
      <c r="A193" s="6">
        <f>参数说明!$B$8+189</f>
        <v>46386</v>
      </c>
      <c r="B193" s="4">
        <v>189</v>
      </c>
      <c r="C193" s="4">
        <f>IF(B193=0,0,IF(B193&lt;=7,FORECAST(B193,参数说明!$B$24:$B$25,参数说明!$A$24:$A$25),IF(B193&lt;=30,FORECAST(B193,参数说明!$B$25:$B$26,参数说明!$A$25:$A$26),IF(B193&lt;=60,FORECAST(B193,参数说明!$B$26:$B$27,参数说明!$A$26:$A$27),IF(B193&lt;=90,FORECAST(B193,参数说明!$B$27:$B$28,参数说明!$A$27:$A$28),IF(B193&lt;=180,FORECAST(B193,参数说明!$B$28:$B$29,参数说明!$A$28:$A$29),FORECAST(B193,参数说明!$B$29:$B$30,参数说明!$A$29:$A$30)))))))</f>
        <v>80.972972972973</v>
      </c>
      <c r="D193" s="4">
        <f t="shared" si="5"/>
        <v>11719.8648648649</v>
      </c>
      <c r="E193" s="4">
        <f>IF(D193&lt;'等级-经验对照'!$B$4,0,LOOKUP(D193,'等级-经验对照'!$B$4:$B$103,'等级-经验对照'!$A$4:$A$103))</f>
        <v>66</v>
      </c>
      <c r="F193" s="3" t="str">
        <f t="shared" si="4"/>
        <v/>
      </c>
    </row>
    <row r="194" spans="1:6">
      <c r="A194" s="6">
        <f>参数说明!$B$8+190</f>
        <v>46387</v>
      </c>
      <c r="B194" s="4">
        <v>190</v>
      </c>
      <c r="C194" s="4">
        <f>IF(B194=0,0,IF(B194&lt;=7,FORECAST(B194,参数说明!$B$24:$B$25,参数说明!$A$24:$A$25),IF(B194&lt;=30,FORECAST(B194,参数说明!$B$25:$B$26,参数说明!$A$25:$A$26),IF(B194&lt;=60,FORECAST(B194,参数说明!$B$26:$B$27,参数说明!$A$26:$A$27),IF(B194&lt;=90,FORECAST(B194,参数说明!$B$27:$B$28,参数说明!$A$27:$A$28),IF(B194&lt;=180,FORECAST(B194,参数说明!$B$28:$B$29,参数说明!$A$28:$A$29),FORECAST(B194,参数说明!$B$29:$B$30,参数说明!$A$29:$A$30)))))))</f>
        <v>81.0810810810811</v>
      </c>
      <c r="D194" s="4">
        <f t="shared" si="5"/>
        <v>11800.9459459459</v>
      </c>
      <c r="E194" s="4">
        <f>IF(D194&lt;'等级-经验对照'!$B$4,0,LOOKUP(D194,'等级-经验对照'!$B$4:$B$103,'等级-经验对照'!$A$4:$A$103))</f>
        <v>66</v>
      </c>
      <c r="F194" s="3" t="str">
        <f t="shared" si="4"/>
        <v/>
      </c>
    </row>
    <row r="195" spans="1:6">
      <c r="A195" s="6">
        <f>参数说明!$B$8+191</f>
        <v>46388</v>
      </c>
      <c r="B195" s="4">
        <v>191</v>
      </c>
      <c r="C195" s="4">
        <f>IF(B195=0,0,IF(B195&lt;=7,FORECAST(B195,参数说明!$B$24:$B$25,参数说明!$A$24:$A$25),IF(B195&lt;=30,FORECAST(B195,参数说明!$B$25:$B$26,参数说明!$A$25:$A$26),IF(B195&lt;=60,FORECAST(B195,参数说明!$B$26:$B$27,参数说明!$A$26:$A$27),IF(B195&lt;=90,FORECAST(B195,参数说明!$B$27:$B$28,参数说明!$A$27:$A$28),IF(B195&lt;=180,FORECAST(B195,参数说明!$B$28:$B$29,参数说明!$A$28:$A$29),FORECAST(B195,参数说明!$B$29:$B$30,参数说明!$A$29:$A$30)))))))</f>
        <v>81.1891891891892</v>
      </c>
      <c r="D195" s="4">
        <f t="shared" si="5"/>
        <v>11882.1351351351</v>
      </c>
      <c r="E195" s="4">
        <f>IF(D195&lt;'等级-经验对照'!$B$4,0,LOOKUP(D195,'等级-经验对照'!$B$4:$B$103,'等级-经验对照'!$A$4:$A$103))</f>
        <v>66</v>
      </c>
      <c r="F195" s="3" t="str">
        <f t="shared" si="4"/>
        <v/>
      </c>
    </row>
    <row r="196" spans="1:6">
      <c r="A196" s="6">
        <f>参数说明!$B$8+192</f>
        <v>46389</v>
      </c>
      <c r="B196" s="4">
        <v>192</v>
      </c>
      <c r="C196" s="4">
        <f>IF(B196=0,0,IF(B196&lt;=7,FORECAST(B196,参数说明!$B$24:$B$25,参数说明!$A$24:$A$25),IF(B196&lt;=30,FORECAST(B196,参数说明!$B$25:$B$26,参数说明!$A$25:$A$26),IF(B196&lt;=60,FORECAST(B196,参数说明!$B$26:$B$27,参数说明!$A$26:$A$27),IF(B196&lt;=90,FORECAST(B196,参数说明!$B$27:$B$28,参数说明!$A$27:$A$28),IF(B196&lt;=180,FORECAST(B196,参数说明!$B$28:$B$29,参数说明!$A$28:$A$29),FORECAST(B196,参数说明!$B$29:$B$30,参数说明!$A$29:$A$30)))))))</f>
        <v>81.2972972972973</v>
      </c>
      <c r="D196" s="4">
        <f t="shared" si="5"/>
        <v>11963.4324324324</v>
      </c>
      <c r="E196" s="4">
        <f>IF(D196&lt;'等级-经验对照'!$B$4,0,LOOKUP(D196,'等级-经验对照'!$B$4:$B$103,'等级-经验对照'!$A$4:$A$103))</f>
        <v>67</v>
      </c>
      <c r="F196" s="3" t="str">
        <f t="shared" ref="F196:F259" si="6">IF(OR(B196=1,B196=7,B196=30,B196=60,B196=90,B196=180,B196=365),"D"&amp;B196&amp;" / Lv"&amp;E196&amp;" / "&amp;ROUND(D196,0)&amp;" XP","")</f>
        <v/>
      </c>
    </row>
    <row r="197" spans="1:6">
      <c r="A197" s="6">
        <f>参数说明!$B$8+193</f>
        <v>46390</v>
      </c>
      <c r="B197" s="4">
        <v>193</v>
      </c>
      <c r="C197" s="4">
        <f>IF(B197=0,0,IF(B197&lt;=7,FORECAST(B197,参数说明!$B$24:$B$25,参数说明!$A$24:$A$25),IF(B197&lt;=30,FORECAST(B197,参数说明!$B$25:$B$26,参数说明!$A$25:$A$26),IF(B197&lt;=60,FORECAST(B197,参数说明!$B$26:$B$27,参数说明!$A$26:$A$27),IF(B197&lt;=90,FORECAST(B197,参数说明!$B$27:$B$28,参数说明!$A$27:$A$28),IF(B197&lt;=180,FORECAST(B197,参数说明!$B$28:$B$29,参数说明!$A$28:$A$29),FORECAST(B197,参数说明!$B$29:$B$30,参数说明!$A$29:$A$30)))))))</f>
        <v>81.4054054054054</v>
      </c>
      <c r="D197" s="4">
        <f t="shared" ref="D197:D260" si="7">D196+C197</f>
        <v>12044.8378378378</v>
      </c>
      <c r="E197" s="4">
        <f>IF(D197&lt;'等级-经验对照'!$B$4,0,LOOKUP(D197,'等级-经验对照'!$B$4:$B$103,'等级-经验对照'!$A$4:$A$103))</f>
        <v>67</v>
      </c>
      <c r="F197" s="3" t="str">
        <f t="shared" si="6"/>
        <v/>
      </c>
    </row>
    <row r="198" spans="1:6">
      <c r="A198" s="6">
        <f>参数说明!$B$8+194</f>
        <v>46391</v>
      </c>
      <c r="B198" s="4">
        <v>194</v>
      </c>
      <c r="C198" s="4">
        <f>IF(B198=0,0,IF(B198&lt;=7,FORECAST(B198,参数说明!$B$24:$B$25,参数说明!$A$24:$A$25),IF(B198&lt;=30,FORECAST(B198,参数说明!$B$25:$B$26,参数说明!$A$25:$A$26),IF(B198&lt;=60,FORECAST(B198,参数说明!$B$26:$B$27,参数说明!$A$26:$A$27),IF(B198&lt;=90,FORECAST(B198,参数说明!$B$27:$B$28,参数说明!$A$27:$A$28),IF(B198&lt;=180,FORECAST(B198,参数说明!$B$28:$B$29,参数说明!$A$28:$A$29),FORECAST(B198,参数说明!$B$29:$B$30,参数说明!$A$29:$A$30)))))))</f>
        <v>81.5135135135135</v>
      </c>
      <c r="D198" s="4">
        <f t="shared" si="7"/>
        <v>12126.3513513514</v>
      </c>
      <c r="E198" s="4">
        <f>IF(D198&lt;'等级-经验对照'!$B$4,0,LOOKUP(D198,'等级-经验对照'!$B$4:$B$103,'等级-经验对照'!$A$4:$A$103))</f>
        <v>67</v>
      </c>
      <c r="F198" s="3" t="str">
        <f t="shared" si="6"/>
        <v/>
      </c>
    </row>
    <row r="199" spans="1:6">
      <c r="A199" s="6">
        <f>参数说明!$B$8+195</f>
        <v>46392</v>
      </c>
      <c r="B199" s="4">
        <v>195</v>
      </c>
      <c r="C199" s="4">
        <f>IF(B199=0,0,IF(B199&lt;=7,FORECAST(B199,参数说明!$B$24:$B$25,参数说明!$A$24:$A$25),IF(B199&lt;=30,FORECAST(B199,参数说明!$B$25:$B$26,参数说明!$A$25:$A$26),IF(B199&lt;=60,FORECAST(B199,参数说明!$B$26:$B$27,参数说明!$A$26:$A$27),IF(B199&lt;=90,FORECAST(B199,参数说明!$B$27:$B$28,参数说明!$A$27:$A$28),IF(B199&lt;=180,FORECAST(B199,参数说明!$B$28:$B$29,参数说明!$A$28:$A$29),FORECAST(B199,参数说明!$B$29:$B$30,参数说明!$A$29:$A$30)))))))</f>
        <v>81.6216216216216</v>
      </c>
      <c r="D199" s="4">
        <f t="shared" si="7"/>
        <v>12207.972972973</v>
      </c>
      <c r="E199" s="4">
        <f>IF(D199&lt;'等级-经验对照'!$B$4,0,LOOKUP(D199,'等级-经验对照'!$B$4:$B$103,'等级-经验对照'!$A$4:$A$103))</f>
        <v>67</v>
      </c>
      <c r="F199" s="3" t="str">
        <f t="shared" si="6"/>
        <v/>
      </c>
    </row>
    <row r="200" spans="1:6">
      <c r="A200" s="6">
        <f>参数说明!$B$8+196</f>
        <v>46393</v>
      </c>
      <c r="B200" s="4">
        <v>196</v>
      </c>
      <c r="C200" s="4">
        <f>IF(B200=0,0,IF(B200&lt;=7,FORECAST(B200,参数说明!$B$24:$B$25,参数说明!$A$24:$A$25),IF(B200&lt;=30,FORECAST(B200,参数说明!$B$25:$B$26,参数说明!$A$25:$A$26),IF(B200&lt;=60,FORECAST(B200,参数说明!$B$26:$B$27,参数说明!$A$26:$A$27),IF(B200&lt;=90,FORECAST(B200,参数说明!$B$27:$B$28,参数说明!$A$27:$A$28),IF(B200&lt;=180,FORECAST(B200,参数说明!$B$28:$B$29,参数说明!$A$28:$A$29),FORECAST(B200,参数说明!$B$29:$B$30,参数说明!$A$29:$A$30)))))))</f>
        <v>81.7297297297297</v>
      </c>
      <c r="D200" s="4">
        <f t="shared" si="7"/>
        <v>12289.7027027027</v>
      </c>
      <c r="E200" s="4">
        <f>IF(D200&lt;'等级-经验对照'!$B$4,0,LOOKUP(D200,'等级-经验对照'!$B$4:$B$103,'等级-经验对照'!$A$4:$A$103))</f>
        <v>67</v>
      </c>
      <c r="F200" s="3" t="str">
        <f t="shared" si="6"/>
        <v/>
      </c>
    </row>
    <row r="201" spans="1:6">
      <c r="A201" s="6">
        <f>参数说明!$B$8+197</f>
        <v>46394</v>
      </c>
      <c r="B201" s="4">
        <v>197</v>
      </c>
      <c r="C201" s="4">
        <f>IF(B201=0,0,IF(B201&lt;=7,FORECAST(B201,参数说明!$B$24:$B$25,参数说明!$A$24:$A$25),IF(B201&lt;=30,FORECAST(B201,参数说明!$B$25:$B$26,参数说明!$A$25:$A$26),IF(B201&lt;=60,FORECAST(B201,参数说明!$B$26:$B$27,参数说明!$A$26:$A$27),IF(B201&lt;=90,FORECAST(B201,参数说明!$B$27:$B$28,参数说明!$A$27:$A$28),IF(B201&lt;=180,FORECAST(B201,参数说明!$B$28:$B$29,参数说明!$A$28:$A$29),FORECAST(B201,参数说明!$B$29:$B$30,参数说明!$A$29:$A$30)))))))</f>
        <v>81.8378378378378</v>
      </c>
      <c r="D201" s="4">
        <f t="shared" si="7"/>
        <v>12371.5405405405</v>
      </c>
      <c r="E201" s="4">
        <f>IF(D201&lt;'等级-经验对照'!$B$4,0,LOOKUP(D201,'等级-经验对照'!$B$4:$B$103,'等级-经验对照'!$A$4:$A$103))</f>
        <v>67</v>
      </c>
      <c r="F201" s="3" t="str">
        <f t="shared" si="6"/>
        <v/>
      </c>
    </row>
    <row r="202" spans="1:6">
      <c r="A202" s="6">
        <f>参数说明!$B$8+198</f>
        <v>46395</v>
      </c>
      <c r="B202" s="4">
        <v>198</v>
      </c>
      <c r="C202" s="4">
        <f>IF(B202=0,0,IF(B202&lt;=7,FORECAST(B202,参数说明!$B$24:$B$25,参数说明!$A$24:$A$25),IF(B202&lt;=30,FORECAST(B202,参数说明!$B$25:$B$26,参数说明!$A$25:$A$26),IF(B202&lt;=60,FORECAST(B202,参数说明!$B$26:$B$27,参数说明!$A$26:$A$27),IF(B202&lt;=90,FORECAST(B202,参数说明!$B$27:$B$28,参数说明!$A$27:$A$28),IF(B202&lt;=180,FORECAST(B202,参数说明!$B$28:$B$29,参数说明!$A$28:$A$29),FORECAST(B202,参数说明!$B$29:$B$30,参数说明!$A$29:$A$30)))))))</f>
        <v>81.945945945946</v>
      </c>
      <c r="D202" s="4">
        <f t="shared" si="7"/>
        <v>12453.4864864865</v>
      </c>
      <c r="E202" s="4">
        <f>IF(D202&lt;'等级-经验对照'!$B$4,0,LOOKUP(D202,'等级-经验对照'!$B$4:$B$103,'等级-经验对照'!$A$4:$A$103))</f>
        <v>68</v>
      </c>
      <c r="F202" s="3" t="str">
        <f t="shared" si="6"/>
        <v/>
      </c>
    </row>
    <row r="203" spans="1:6">
      <c r="A203" s="6">
        <f>参数说明!$B$8+199</f>
        <v>46396</v>
      </c>
      <c r="B203" s="4">
        <v>199</v>
      </c>
      <c r="C203" s="4">
        <f>IF(B203=0,0,IF(B203&lt;=7,FORECAST(B203,参数说明!$B$24:$B$25,参数说明!$A$24:$A$25),IF(B203&lt;=30,FORECAST(B203,参数说明!$B$25:$B$26,参数说明!$A$25:$A$26),IF(B203&lt;=60,FORECAST(B203,参数说明!$B$26:$B$27,参数说明!$A$26:$A$27),IF(B203&lt;=90,FORECAST(B203,参数说明!$B$27:$B$28,参数说明!$A$27:$A$28),IF(B203&lt;=180,FORECAST(B203,参数说明!$B$28:$B$29,参数说明!$A$28:$A$29),FORECAST(B203,参数说明!$B$29:$B$30,参数说明!$A$29:$A$30)))))))</f>
        <v>82.0540540540541</v>
      </c>
      <c r="D203" s="4">
        <f t="shared" si="7"/>
        <v>12535.5405405405</v>
      </c>
      <c r="E203" s="4">
        <f>IF(D203&lt;'等级-经验对照'!$B$4,0,LOOKUP(D203,'等级-经验对照'!$B$4:$B$103,'等级-经验对照'!$A$4:$A$103))</f>
        <v>68</v>
      </c>
      <c r="F203" s="3" t="str">
        <f t="shared" si="6"/>
        <v/>
      </c>
    </row>
    <row r="204" spans="1:6">
      <c r="A204" s="6">
        <f>参数说明!$B$8+200</f>
        <v>46397</v>
      </c>
      <c r="B204" s="4">
        <v>200</v>
      </c>
      <c r="C204" s="4">
        <f>IF(B204=0,0,IF(B204&lt;=7,FORECAST(B204,参数说明!$B$24:$B$25,参数说明!$A$24:$A$25),IF(B204&lt;=30,FORECAST(B204,参数说明!$B$25:$B$26,参数说明!$A$25:$A$26),IF(B204&lt;=60,FORECAST(B204,参数说明!$B$26:$B$27,参数说明!$A$26:$A$27),IF(B204&lt;=90,FORECAST(B204,参数说明!$B$27:$B$28,参数说明!$A$27:$A$28),IF(B204&lt;=180,FORECAST(B204,参数说明!$B$28:$B$29,参数说明!$A$28:$A$29),FORECAST(B204,参数说明!$B$29:$B$30,参数说明!$A$29:$A$30)))))))</f>
        <v>82.1621621621622</v>
      </c>
      <c r="D204" s="4">
        <f t="shared" si="7"/>
        <v>12617.7027027027</v>
      </c>
      <c r="E204" s="4">
        <f>IF(D204&lt;'等级-经验对照'!$B$4,0,LOOKUP(D204,'等级-经验对照'!$B$4:$B$103,'等级-经验对照'!$A$4:$A$103))</f>
        <v>68</v>
      </c>
      <c r="F204" s="3" t="str">
        <f t="shared" si="6"/>
        <v/>
      </c>
    </row>
    <row r="205" spans="1:6">
      <c r="A205" s="6">
        <f>参数说明!$B$8+201</f>
        <v>46398</v>
      </c>
      <c r="B205" s="4">
        <v>201</v>
      </c>
      <c r="C205" s="4">
        <f>IF(B205=0,0,IF(B205&lt;=7,FORECAST(B205,参数说明!$B$24:$B$25,参数说明!$A$24:$A$25),IF(B205&lt;=30,FORECAST(B205,参数说明!$B$25:$B$26,参数说明!$A$25:$A$26),IF(B205&lt;=60,FORECAST(B205,参数说明!$B$26:$B$27,参数说明!$A$26:$A$27),IF(B205&lt;=90,FORECAST(B205,参数说明!$B$27:$B$28,参数说明!$A$27:$A$28),IF(B205&lt;=180,FORECAST(B205,参数说明!$B$28:$B$29,参数说明!$A$28:$A$29),FORECAST(B205,参数说明!$B$29:$B$30,参数说明!$A$29:$A$30)))))))</f>
        <v>82.2702702702703</v>
      </c>
      <c r="D205" s="4">
        <f t="shared" si="7"/>
        <v>12699.972972973</v>
      </c>
      <c r="E205" s="4">
        <f>IF(D205&lt;'等级-经验对照'!$B$4,0,LOOKUP(D205,'等级-经验对照'!$B$4:$B$103,'等级-经验对照'!$A$4:$A$103))</f>
        <v>68</v>
      </c>
      <c r="F205" s="3" t="str">
        <f t="shared" si="6"/>
        <v/>
      </c>
    </row>
    <row r="206" spans="1:6">
      <c r="A206" s="6">
        <f>参数说明!$B$8+202</f>
        <v>46399</v>
      </c>
      <c r="B206" s="4">
        <v>202</v>
      </c>
      <c r="C206" s="4">
        <f>IF(B206=0,0,IF(B206&lt;=7,FORECAST(B206,参数说明!$B$24:$B$25,参数说明!$A$24:$A$25),IF(B206&lt;=30,FORECAST(B206,参数说明!$B$25:$B$26,参数说明!$A$25:$A$26),IF(B206&lt;=60,FORECAST(B206,参数说明!$B$26:$B$27,参数说明!$A$26:$A$27),IF(B206&lt;=90,FORECAST(B206,参数说明!$B$27:$B$28,参数说明!$A$27:$A$28),IF(B206&lt;=180,FORECAST(B206,参数说明!$B$28:$B$29,参数说明!$A$28:$A$29),FORECAST(B206,参数说明!$B$29:$B$30,参数说明!$A$29:$A$30)))))))</f>
        <v>82.3783783783784</v>
      </c>
      <c r="D206" s="4">
        <f t="shared" si="7"/>
        <v>12782.3513513514</v>
      </c>
      <c r="E206" s="4">
        <f>IF(D206&lt;'等级-经验对照'!$B$4,0,LOOKUP(D206,'等级-经验对照'!$B$4:$B$103,'等级-经验对照'!$A$4:$A$103))</f>
        <v>68</v>
      </c>
      <c r="F206" s="3" t="str">
        <f t="shared" si="6"/>
        <v/>
      </c>
    </row>
    <row r="207" spans="1:6">
      <c r="A207" s="6">
        <f>参数说明!$B$8+203</f>
        <v>46400</v>
      </c>
      <c r="B207" s="4">
        <v>203</v>
      </c>
      <c r="C207" s="4">
        <f>IF(B207=0,0,IF(B207&lt;=7,FORECAST(B207,参数说明!$B$24:$B$25,参数说明!$A$24:$A$25),IF(B207&lt;=30,FORECAST(B207,参数说明!$B$25:$B$26,参数说明!$A$25:$A$26),IF(B207&lt;=60,FORECAST(B207,参数说明!$B$26:$B$27,参数说明!$A$26:$A$27),IF(B207&lt;=90,FORECAST(B207,参数说明!$B$27:$B$28,参数说明!$A$27:$A$28),IF(B207&lt;=180,FORECAST(B207,参数说明!$B$28:$B$29,参数说明!$A$28:$A$29),FORECAST(B207,参数说明!$B$29:$B$30,参数说明!$A$29:$A$30)))))))</f>
        <v>82.4864864864865</v>
      </c>
      <c r="D207" s="4">
        <f t="shared" si="7"/>
        <v>12864.8378378378</v>
      </c>
      <c r="E207" s="4">
        <f>IF(D207&lt;'等级-经验对照'!$B$4,0,LOOKUP(D207,'等级-经验对照'!$B$4:$B$103,'等级-经验对照'!$A$4:$A$103))</f>
        <v>68</v>
      </c>
      <c r="F207" s="3" t="str">
        <f t="shared" si="6"/>
        <v/>
      </c>
    </row>
    <row r="208" spans="1:6">
      <c r="A208" s="6">
        <f>参数说明!$B$8+204</f>
        <v>46401</v>
      </c>
      <c r="B208" s="4">
        <v>204</v>
      </c>
      <c r="C208" s="4">
        <f>IF(B208=0,0,IF(B208&lt;=7,FORECAST(B208,参数说明!$B$24:$B$25,参数说明!$A$24:$A$25),IF(B208&lt;=30,FORECAST(B208,参数说明!$B$25:$B$26,参数说明!$A$25:$A$26),IF(B208&lt;=60,FORECAST(B208,参数说明!$B$26:$B$27,参数说明!$A$26:$A$27),IF(B208&lt;=90,FORECAST(B208,参数说明!$B$27:$B$28,参数说明!$A$27:$A$28),IF(B208&lt;=180,FORECAST(B208,参数说明!$B$28:$B$29,参数说明!$A$28:$A$29),FORECAST(B208,参数说明!$B$29:$B$30,参数说明!$A$29:$A$30)))))))</f>
        <v>82.5945945945946</v>
      </c>
      <c r="D208" s="4">
        <f t="shared" si="7"/>
        <v>12947.4324324324</v>
      </c>
      <c r="E208" s="4">
        <f>IF(D208&lt;'等级-经验对照'!$B$4,0,LOOKUP(D208,'等级-经验对照'!$B$4:$B$103,'等级-经验对照'!$A$4:$A$103))</f>
        <v>69</v>
      </c>
      <c r="F208" s="3" t="str">
        <f t="shared" si="6"/>
        <v/>
      </c>
    </row>
    <row r="209" spans="1:6">
      <c r="A209" s="6">
        <f>参数说明!$B$8+205</f>
        <v>46402</v>
      </c>
      <c r="B209" s="4">
        <v>205</v>
      </c>
      <c r="C209" s="4">
        <f>IF(B209=0,0,IF(B209&lt;=7,FORECAST(B209,参数说明!$B$24:$B$25,参数说明!$A$24:$A$25),IF(B209&lt;=30,FORECAST(B209,参数说明!$B$25:$B$26,参数说明!$A$25:$A$26),IF(B209&lt;=60,FORECAST(B209,参数说明!$B$26:$B$27,参数说明!$A$26:$A$27),IF(B209&lt;=90,FORECAST(B209,参数说明!$B$27:$B$28,参数说明!$A$27:$A$28),IF(B209&lt;=180,FORECAST(B209,参数说明!$B$28:$B$29,参数说明!$A$28:$A$29),FORECAST(B209,参数说明!$B$29:$B$30,参数说明!$A$29:$A$30)))))))</f>
        <v>82.7027027027027</v>
      </c>
      <c r="D209" s="4">
        <f t="shared" si="7"/>
        <v>13030.1351351351</v>
      </c>
      <c r="E209" s="4">
        <f>IF(D209&lt;'等级-经验对照'!$B$4,0,LOOKUP(D209,'等级-经验对照'!$B$4:$B$103,'等级-经验对照'!$A$4:$A$103))</f>
        <v>69</v>
      </c>
      <c r="F209" s="3" t="str">
        <f t="shared" si="6"/>
        <v/>
      </c>
    </row>
    <row r="210" spans="1:6">
      <c r="A210" s="6">
        <f>参数说明!$B$8+206</f>
        <v>46403</v>
      </c>
      <c r="B210" s="4">
        <v>206</v>
      </c>
      <c r="C210" s="4">
        <f>IF(B210=0,0,IF(B210&lt;=7,FORECAST(B210,参数说明!$B$24:$B$25,参数说明!$A$24:$A$25),IF(B210&lt;=30,FORECAST(B210,参数说明!$B$25:$B$26,参数说明!$A$25:$A$26),IF(B210&lt;=60,FORECAST(B210,参数说明!$B$26:$B$27,参数说明!$A$26:$A$27),IF(B210&lt;=90,FORECAST(B210,参数说明!$B$27:$B$28,参数说明!$A$27:$A$28),IF(B210&lt;=180,FORECAST(B210,参数说明!$B$28:$B$29,参数说明!$A$28:$A$29),FORECAST(B210,参数说明!$B$29:$B$30,参数说明!$A$29:$A$30)))))))</f>
        <v>82.8108108108108</v>
      </c>
      <c r="D210" s="4">
        <f t="shared" si="7"/>
        <v>13112.9459459459</v>
      </c>
      <c r="E210" s="4">
        <f>IF(D210&lt;'等级-经验对照'!$B$4,0,LOOKUP(D210,'等级-经验对照'!$B$4:$B$103,'等级-经验对照'!$A$4:$A$103))</f>
        <v>69</v>
      </c>
      <c r="F210" s="3" t="str">
        <f t="shared" si="6"/>
        <v/>
      </c>
    </row>
    <row r="211" spans="1:6">
      <c r="A211" s="6">
        <f>参数说明!$B$8+207</f>
        <v>46404</v>
      </c>
      <c r="B211" s="4">
        <v>207</v>
      </c>
      <c r="C211" s="4">
        <f>IF(B211=0,0,IF(B211&lt;=7,FORECAST(B211,参数说明!$B$24:$B$25,参数说明!$A$24:$A$25),IF(B211&lt;=30,FORECAST(B211,参数说明!$B$25:$B$26,参数说明!$A$25:$A$26),IF(B211&lt;=60,FORECAST(B211,参数说明!$B$26:$B$27,参数说明!$A$26:$A$27),IF(B211&lt;=90,FORECAST(B211,参数说明!$B$27:$B$28,参数说明!$A$27:$A$28),IF(B211&lt;=180,FORECAST(B211,参数说明!$B$28:$B$29,参数说明!$A$28:$A$29),FORECAST(B211,参数说明!$B$29:$B$30,参数说明!$A$29:$A$30)))))))</f>
        <v>82.9189189189189</v>
      </c>
      <c r="D211" s="4">
        <f t="shared" si="7"/>
        <v>13195.8648648649</v>
      </c>
      <c r="E211" s="4">
        <f>IF(D211&lt;'等级-经验对照'!$B$4,0,LOOKUP(D211,'等级-经验对照'!$B$4:$B$103,'等级-经验对照'!$A$4:$A$103))</f>
        <v>69</v>
      </c>
      <c r="F211" s="3" t="str">
        <f t="shared" si="6"/>
        <v/>
      </c>
    </row>
    <row r="212" spans="1:6">
      <c r="A212" s="6">
        <f>参数说明!$B$8+208</f>
        <v>46405</v>
      </c>
      <c r="B212" s="4">
        <v>208</v>
      </c>
      <c r="C212" s="4">
        <f>IF(B212=0,0,IF(B212&lt;=7,FORECAST(B212,参数说明!$B$24:$B$25,参数说明!$A$24:$A$25),IF(B212&lt;=30,FORECAST(B212,参数说明!$B$25:$B$26,参数说明!$A$25:$A$26),IF(B212&lt;=60,FORECAST(B212,参数说明!$B$26:$B$27,参数说明!$A$26:$A$27),IF(B212&lt;=90,FORECAST(B212,参数说明!$B$27:$B$28,参数说明!$A$27:$A$28),IF(B212&lt;=180,FORECAST(B212,参数说明!$B$28:$B$29,参数说明!$A$28:$A$29),FORECAST(B212,参数说明!$B$29:$B$30,参数说明!$A$29:$A$30)))))))</f>
        <v>83.027027027027</v>
      </c>
      <c r="D212" s="4">
        <f t="shared" si="7"/>
        <v>13278.8918918919</v>
      </c>
      <c r="E212" s="4">
        <f>IF(D212&lt;'等级-经验对照'!$B$4,0,LOOKUP(D212,'等级-经验对照'!$B$4:$B$103,'等级-经验对照'!$A$4:$A$103))</f>
        <v>69</v>
      </c>
      <c r="F212" s="3" t="str">
        <f t="shared" si="6"/>
        <v/>
      </c>
    </row>
    <row r="213" spans="1:6">
      <c r="A213" s="6">
        <f>参数说明!$B$8+209</f>
        <v>46406</v>
      </c>
      <c r="B213" s="4">
        <v>209</v>
      </c>
      <c r="C213" s="4">
        <f>IF(B213=0,0,IF(B213&lt;=7,FORECAST(B213,参数说明!$B$24:$B$25,参数说明!$A$24:$A$25),IF(B213&lt;=30,FORECAST(B213,参数说明!$B$25:$B$26,参数说明!$A$25:$A$26),IF(B213&lt;=60,FORECAST(B213,参数说明!$B$26:$B$27,参数说明!$A$26:$A$27),IF(B213&lt;=90,FORECAST(B213,参数说明!$B$27:$B$28,参数说明!$A$27:$A$28),IF(B213&lt;=180,FORECAST(B213,参数说明!$B$28:$B$29,参数说明!$A$28:$A$29),FORECAST(B213,参数说明!$B$29:$B$30,参数说明!$A$29:$A$30)))))))</f>
        <v>83.1351351351351</v>
      </c>
      <c r="D213" s="4">
        <f t="shared" si="7"/>
        <v>13362.027027027</v>
      </c>
      <c r="E213" s="4">
        <f>IF(D213&lt;'等级-经验对照'!$B$4,0,LOOKUP(D213,'等级-经验对照'!$B$4:$B$103,'等级-经验对照'!$A$4:$A$103))</f>
        <v>69</v>
      </c>
      <c r="F213" s="3" t="str">
        <f t="shared" si="6"/>
        <v/>
      </c>
    </row>
    <row r="214" spans="1:6">
      <c r="A214" s="6">
        <f>参数说明!$B$8+210</f>
        <v>46407</v>
      </c>
      <c r="B214" s="4">
        <v>210</v>
      </c>
      <c r="C214" s="4">
        <f>IF(B214=0,0,IF(B214&lt;=7,FORECAST(B214,参数说明!$B$24:$B$25,参数说明!$A$24:$A$25),IF(B214&lt;=30,FORECAST(B214,参数说明!$B$25:$B$26,参数说明!$A$25:$A$26),IF(B214&lt;=60,FORECAST(B214,参数说明!$B$26:$B$27,参数说明!$A$26:$A$27),IF(B214&lt;=90,FORECAST(B214,参数说明!$B$27:$B$28,参数说明!$A$27:$A$28),IF(B214&lt;=180,FORECAST(B214,参数说明!$B$28:$B$29,参数说明!$A$28:$A$29),FORECAST(B214,参数说明!$B$29:$B$30,参数说明!$A$29:$A$30)))))))</f>
        <v>83.2432432432432</v>
      </c>
      <c r="D214" s="4">
        <f t="shared" si="7"/>
        <v>13445.2702702703</v>
      </c>
      <c r="E214" s="4">
        <f>IF(D214&lt;'等级-经验对照'!$B$4,0,LOOKUP(D214,'等级-经验对照'!$B$4:$B$103,'等级-经验对照'!$A$4:$A$103))</f>
        <v>70</v>
      </c>
      <c r="F214" s="3" t="str">
        <f t="shared" si="6"/>
        <v/>
      </c>
    </row>
    <row r="215" spans="1:6">
      <c r="A215" s="6">
        <f>参数说明!$B$8+211</f>
        <v>46408</v>
      </c>
      <c r="B215" s="4">
        <v>211</v>
      </c>
      <c r="C215" s="4">
        <f>IF(B215=0,0,IF(B215&lt;=7,FORECAST(B215,参数说明!$B$24:$B$25,参数说明!$A$24:$A$25),IF(B215&lt;=30,FORECAST(B215,参数说明!$B$25:$B$26,参数说明!$A$25:$A$26),IF(B215&lt;=60,FORECAST(B215,参数说明!$B$26:$B$27,参数说明!$A$26:$A$27),IF(B215&lt;=90,FORECAST(B215,参数说明!$B$27:$B$28,参数说明!$A$27:$A$28),IF(B215&lt;=180,FORECAST(B215,参数说明!$B$28:$B$29,参数说明!$A$28:$A$29),FORECAST(B215,参数说明!$B$29:$B$30,参数说明!$A$29:$A$30)))))))</f>
        <v>83.3513513513514</v>
      </c>
      <c r="D215" s="4">
        <f t="shared" si="7"/>
        <v>13528.6216216216</v>
      </c>
      <c r="E215" s="4">
        <f>IF(D215&lt;'等级-经验对照'!$B$4,0,LOOKUP(D215,'等级-经验对照'!$B$4:$B$103,'等级-经验对照'!$A$4:$A$103))</f>
        <v>70</v>
      </c>
      <c r="F215" s="3" t="str">
        <f t="shared" si="6"/>
        <v/>
      </c>
    </row>
    <row r="216" spans="1:6">
      <c r="A216" s="6">
        <f>参数说明!$B$8+212</f>
        <v>46409</v>
      </c>
      <c r="B216" s="4">
        <v>212</v>
      </c>
      <c r="C216" s="4">
        <f>IF(B216=0,0,IF(B216&lt;=7,FORECAST(B216,参数说明!$B$24:$B$25,参数说明!$A$24:$A$25),IF(B216&lt;=30,FORECAST(B216,参数说明!$B$25:$B$26,参数说明!$A$25:$A$26),IF(B216&lt;=60,FORECAST(B216,参数说明!$B$26:$B$27,参数说明!$A$26:$A$27),IF(B216&lt;=90,FORECAST(B216,参数说明!$B$27:$B$28,参数说明!$A$27:$A$28),IF(B216&lt;=180,FORECAST(B216,参数说明!$B$28:$B$29,参数说明!$A$28:$A$29),FORECAST(B216,参数说明!$B$29:$B$30,参数说明!$A$29:$A$30)))))))</f>
        <v>83.4594594594595</v>
      </c>
      <c r="D216" s="4">
        <f t="shared" si="7"/>
        <v>13612.0810810811</v>
      </c>
      <c r="E216" s="4">
        <f>IF(D216&lt;'等级-经验对照'!$B$4,0,LOOKUP(D216,'等级-经验对照'!$B$4:$B$103,'等级-经验对照'!$A$4:$A$103))</f>
        <v>70</v>
      </c>
      <c r="F216" s="3" t="str">
        <f t="shared" si="6"/>
        <v/>
      </c>
    </row>
    <row r="217" spans="1:6">
      <c r="A217" s="6">
        <f>参数说明!$B$8+213</f>
        <v>46410</v>
      </c>
      <c r="B217" s="4">
        <v>213</v>
      </c>
      <c r="C217" s="4">
        <f>IF(B217=0,0,IF(B217&lt;=7,FORECAST(B217,参数说明!$B$24:$B$25,参数说明!$A$24:$A$25),IF(B217&lt;=30,FORECAST(B217,参数说明!$B$25:$B$26,参数说明!$A$25:$A$26),IF(B217&lt;=60,FORECAST(B217,参数说明!$B$26:$B$27,参数说明!$A$26:$A$27),IF(B217&lt;=90,FORECAST(B217,参数说明!$B$27:$B$28,参数说明!$A$27:$A$28),IF(B217&lt;=180,FORECAST(B217,参数说明!$B$28:$B$29,参数说明!$A$28:$A$29),FORECAST(B217,参数说明!$B$29:$B$30,参数说明!$A$29:$A$30)))))))</f>
        <v>83.5675675675676</v>
      </c>
      <c r="D217" s="4">
        <f t="shared" si="7"/>
        <v>13695.6486486487</v>
      </c>
      <c r="E217" s="4">
        <f>IF(D217&lt;'等级-经验对照'!$B$4,0,LOOKUP(D217,'等级-经验对照'!$B$4:$B$103,'等级-经验对照'!$A$4:$A$103))</f>
        <v>70</v>
      </c>
      <c r="F217" s="3" t="str">
        <f t="shared" si="6"/>
        <v/>
      </c>
    </row>
    <row r="218" spans="1:6">
      <c r="A218" s="6">
        <f>参数说明!$B$8+214</f>
        <v>46411</v>
      </c>
      <c r="B218" s="4">
        <v>214</v>
      </c>
      <c r="C218" s="4">
        <f>IF(B218=0,0,IF(B218&lt;=7,FORECAST(B218,参数说明!$B$24:$B$25,参数说明!$A$24:$A$25),IF(B218&lt;=30,FORECAST(B218,参数说明!$B$25:$B$26,参数说明!$A$25:$A$26),IF(B218&lt;=60,FORECAST(B218,参数说明!$B$26:$B$27,参数说明!$A$26:$A$27),IF(B218&lt;=90,FORECAST(B218,参数说明!$B$27:$B$28,参数说明!$A$27:$A$28),IF(B218&lt;=180,FORECAST(B218,参数说明!$B$28:$B$29,参数说明!$A$28:$A$29),FORECAST(B218,参数说明!$B$29:$B$30,参数说明!$A$29:$A$30)))))))</f>
        <v>83.6756756756757</v>
      </c>
      <c r="D218" s="4">
        <f t="shared" si="7"/>
        <v>13779.3243243243</v>
      </c>
      <c r="E218" s="4">
        <f>IF(D218&lt;'等级-经验对照'!$B$4,0,LOOKUP(D218,'等级-经验对照'!$B$4:$B$103,'等级-经验对照'!$A$4:$A$103))</f>
        <v>70</v>
      </c>
      <c r="F218" s="3" t="str">
        <f t="shared" si="6"/>
        <v/>
      </c>
    </row>
    <row r="219" spans="1:6">
      <c r="A219" s="6">
        <f>参数说明!$B$8+215</f>
        <v>46412</v>
      </c>
      <c r="B219" s="4">
        <v>215</v>
      </c>
      <c r="C219" s="4">
        <f>IF(B219=0,0,IF(B219&lt;=7,FORECAST(B219,参数说明!$B$24:$B$25,参数说明!$A$24:$A$25),IF(B219&lt;=30,FORECAST(B219,参数说明!$B$25:$B$26,参数说明!$A$25:$A$26),IF(B219&lt;=60,FORECAST(B219,参数说明!$B$26:$B$27,参数说明!$A$26:$A$27),IF(B219&lt;=90,FORECAST(B219,参数说明!$B$27:$B$28,参数说明!$A$27:$A$28),IF(B219&lt;=180,FORECAST(B219,参数说明!$B$28:$B$29,参数说明!$A$28:$A$29),FORECAST(B219,参数说明!$B$29:$B$30,参数说明!$A$29:$A$30)))))))</f>
        <v>83.7837837837838</v>
      </c>
      <c r="D219" s="4">
        <f t="shared" si="7"/>
        <v>13863.1081081081</v>
      </c>
      <c r="E219" s="4">
        <f>IF(D219&lt;'等级-经验对照'!$B$4,0,LOOKUP(D219,'等级-经验对照'!$B$4:$B$103,'等级-经验对照'!$A$4:$A$103))</f>
        <v>71</v>
      </c>
      <c r="F219" s="3" t="str">
        <f t="shared" si="6"/>
        <v/>
      </c>
    </row>
    <row r="220" spans="1:6">
      <c r="A220" s="6">
        <f>参数说明!$B$8+216</f>
        <v>46413</v>
      </c>
      <c r="B220" s="4">
        <v>216</v>
      </c>
      <c r="C220" s="4">
        <f>IF(B220=0,0,IF(B220&lt;=7,FORECAST(B220,参数说明!$B$24:$B$25,参数说明!$A$24:$A$25),IF(B220&lt;=30,FORECAST(B220,参数说明!$B$25:$B$26,参数说明!$A$25:$A$26),IF(B220&lt;=60,FORECAST(B220,参数说明!$B$26:$B$27,参数说明!$A$26:$A$27),IF(B220&lt;=90,FORECAST(B220,参数说明!$B$27:$B$28,参数说明!$A$27:$A$28),IF(B220&lt;=180,FORECAST(B220,参数说明!$B$28:$B$29,参数说明!$A$28:$A$29),FORECAST(B220,参数说明!$B$29:$B$30,参数说明!$A$29:$A$30)))))))</f>
        <v>83.8918918918919</v>
      </c>
      <c r="D220" s="4">
        <f t="shared" si="7"/>
        <v>13947</v>
      </c>
      <c r="E220" s="4">
        <f>IF(D220&lt;'等级-经验对照'!$B$4,0,LOOKUP(D220,'等级-经验对照'!$B$4:$B$103,'等级-经验对照'!$A$4:$A$103))</f>
        <v>71</v>
      </c>
      <c r="F220" s="3" t="str">
        <f t="shared" si="6"/>
        <v/>
      </c>
    </row>
    <row r="221" spans="1:6">
      <c r="A221" s="6">
        <f>参数说明!$B$8+217</f>
        <v>46414</v>
      </c>
      <c r="B221" s="4">
        <v>217</v>
      </c>
      <c r="C221" s="4">
        <f>IF(B221=0,0,IF(B221&lt;=7,FORECAST(B221,参数说明!$B$24:$B$25,参数说明!$A$24:$A$25),IF(B221&lt;=30,FORECAST(B221,参数说明!$B$25:$B$26,参数说明!$A$25:$A$26),IF(B221&lt;=60,FORECAST(B221,参数说明!$B$26:$B$27,参数说明!$A$26:$A$27),IF(B221&lt;=90,FORECAST(B221,参数说明!$B$27:$B$28,参数说明!$A$27:$A$28),IF(B221&lt;=180,FORECAST(B221,参数说明!$B$28:$B$29,参数说明!$A$28:$A$29),FORECAST(B221,参数说明!$B$29:$B$30,参数说明!$A$29:$A$30)))))))</f>
        <v>84</v>
      </c>
      <c r="D221" s="4">
        <f t="shared" si="7"/>
        <v>14031</v>
      </c>
      <c r="E221" s="4">
        <f>IF(D221&lt;'等级-经验对照'!$B$4,0,LOOKUP(D221,'等级-经验对照'!$B$4:$B$103,'等级-经验对照'!$A$4:$A$103))</f>
        <v>71</v>
      </c>
      <c r="F221" s="3" t="str">
        <f t="shared" si="6"/>
        <v/>
      </c>
    </row>
    <row r="222" spans="1:6">
      <c r="A222" s="6">
        <f>参数说明!$B$8+218</f>
        <v>46415</v>
      </c>
      <c r="B222" s="4">
        <v>218</v>
      </c>
      <c r="C222" s="4">
        <f>IF(B222=0,0,IF(B222&lt;=7,FORECAST(B222,参数说明!$B$24:$B$25,参数说明!$A$24:$A$25),IF(B222&lt;=30,FORECAST(B222,参数说明!$B$25:$B$26,参数说明!$A$25:$A$26),IF(B222&lt;=60,FORECAST(B222,参数说明!$B$26:$B$27,参数说明!$A$26:$A$27),IF(B222&lt;=90,FORECAST(B222,参数说明!$B$27:$B$28,参数说明!$A$27:$A$28),IF(B222&lt;=180,FORECAST(B222,参数说明!$B$28:$B$29,参数说明!$A$28:$A$29),FORECAST(B222,参数说明!$B$29:$B$30,参数说明!$A$29:$A$30)))))))</f>
        <v>84.1081081081081</v>
      </c>
      <c r="D222" s="4">
        <f t="shared" si="7"/>
        <v>14115.1081081081</v>
      </c>
      <c r="E222" s="4">
        <f>IF(D222&lt;'等级-经验对照'!$B$4,0,LOOKUP(D222,'等级-经验对照'!$B$4:$B$103,'等级-经验对照'!$A$4:$A$103))</f>
        <v>71</v>
      </c>
      <c r="F222" s="3" t="str">
        <f t="shared" si="6"/>
        <v/>
      </c>
    </row>
    <row r="223" spans="1:6">
      <c r="A223" s="6">
        <f>参数说明!$B$8+219</f>
        <v>46416</v>
      </c>
      <c r="B223" s="4">
        <v>219</v>
      </c>
      <c r="C223" s="4">
        <f>IF(B223=0,0,IF(B223&lt;=7,FORECAST(B223,参数说明!$B$24:$B$25,参数说明!$A$24:$A$25),IF(B223&lt;=30,FORECAST(B223,参数说明!$B$25:$B$26,参数说明!$A$25:$A$26),IF(B223&lt;=60,FORECAST(B223,参数说明!$B$26:$B$27,参数说明!$A$26:$A$27),IF(B223&lt;=90,FORECAST(B223,参数说明!$B$27:$B$28,参数说明!$A$27:$A$28),IF(B223&lt;=180,FORECAST(B223,参数说明!$B$28:$B$29,参数说明!$A$28:$A$29),FORECAST(B223,参数说明!$B$29:$B$30,参数说明!$A$29:$A$30)))))))</f>
        <v>84.2162162162162</v>
      </c>
      <c r="D223" s="4">
        <f t="shared" si="7"/>
        <v>14199.3243243243</v>
      </c>
      <c r="E223" s="4">
        <f>IF(D223&lt;'等级-经验对照'!$B$4,0,LOOKUP(D223,'等级-经验对照'!$B$4:$B$103,'等级-经验对照'!$A$4:$A$103))</f>
        <v>71</v>
      </c>
      <c r="F223" s="3" t="str">
        <f t="shared" si="6"/>
        <v/>
      </c>
    </row>
    <row r="224" spans="1:6">
      <c r="A224" s="6">
        <f>参数说明!$B$8+220</f>
        <v>46417</v>
      </c>
      <c r="B224" s="4">
        <v>220</v>
      </c>
      <c r="C224" s="4">
        <f>IF(B224=0,0,IF(B224&lt;=7,FORECAST(B224,参数说明!$B$24:$B$25,参数说明!$A$24:$A$25),IF(B224&lt;=30,FORECAST(B224,参数说明!$B$25:$B$26,参数说明!$A$25:$A$26),IF(B224&lt;=60,FORECAST(B224,参数说明!$B$26:$B$27,参数说明!$A$26:$A$27),IF(B224&lt;=90,FORECAST(B224,参数说明!$B$27:$B$28,参数说明!$A$27:$A$28),IF(B224&lt;=180,FORECAST(B224,参数说明!$B$28:$B$29,参数说明!$A$28:$A$29),FORECAST(B224,参数说明!$B$29:$B$30,参数说明!$A$29:$A$30)))))))</f>
        <v>84.3243243243243</v>
      </c>
      <c r="D224" s="4">
        <f t="shared" si="7"/>
        <v>14283.6486486487</v>
      </c>
      <c r="E224" s="4">
        <f>IF(D224&lt;'等级-经验对照'!$B$4,0,LOOKUP(D224,'等级-经验对照'!$B$4:$B$103,'等级-经验对照'!$A$4:$A$103))</f>
        <v>71</v>
      </c>
      <c r="F224" s="3" t="str">
        <f t="shared" si="6"/>
        <v/>
      </c>
    </row>
    <row r="225" spans="1:6">
      <c r="A225" s="6">
        <f>参数说明!$B$8+221</f>
        <v>46418</v>
      </c>
      <c r="B225" s="4">
        <v>221</v>
      </c>
      <c r="C225" s="4">
        <f>IF(B225=0,0,IF(B225&lt;=7,FORECAST(B225,参数说明!$B$24:$B$25,参数说明!$A$24:$A$25),IF(B225&lt;=30,FORECAST(B225,参数说明!$B$25:$B$26,参数说明!$A$25:$A$26),IF(B225&lt;=60,FORECAST(B225,参数说明!$B$26:$B$27,参数说明!$A$26:$A$27),IF(B225&lt;=90,FORECAST(B225,参数说明!$B$27:$B$28,参数说明!$A$27:$A$28),IF(B225&lt;=180,FORECAST(B225,参数说明!$B$28:$B$29,参数说明!$A$28:$A$29),FORECAST(B225,参数说明!$B$29:$B$30,参数说明!$A$29:$A$30)))))))</f>
        <v>84.4324324324324</v>
      </c>
      <c r="D225" s="4">
        <f t="shared" si="7"/>
        <v>14368.0810810811</v>
      </c>
      <c r="E225" s="4">
        <f>IF(D225&lt;'等级-经验对照'!$B$4,0,LOOKUP(D225,'等级-经验对照'!$B$4:$B$103,'等级-经验对照'!$A$4:$A$103))</f>
        <v>72</v>
      </c>
      <c r="F225" s="3" t="str">
        <f t="shared" si="6"/>
        <v/>
      </c>
    </row>
    <row r="226" spans="1:6">
      <c r="A226" s="6">
        <f>参数说明!$B$8+222</f>
        <v>46419</v>
      </c>
      <c r="B226" s="4">
        <v>222</v>
      </c>
      <c r="C226" s="4">
        <f>IF(B226=0,0,IF(B226&lt;=7,FORECAST(B226,参数说明!$B$24:$B$25,参数说明!$A$24:$A$25),IF(B226&lt;=30,FORECAST(B226,参数说明!$B$25:$B$26,参数说明!$A$25:$A$26),IF(B226&lt;=60,FORECAST(B226,参数说明!$B$26:$B$27,参数说明!$A$26:$A$27),IF(B226&lt;=90,FORECAST(B226,参数说明!$B$27:$B$28,参数说明!$A$27:$A$28),IF(B226&lt;=180,FORECAST(B226,参数说明!$B$28:$B$29,参数说明!$A$28:$A$29),FORECAST(B226,参数说明!$B$29:$B$30,参数说明!$A$29:$A$30)))))))</f>
        <v>84.5405405405405</v>
      </c>
      <c r="D226" s="4">
        <f t="shared" si="7"/>
        <v>14452.6216216216</v>
      </c>
      <c r="E226" s="4">
        <f>IF(D226&lt;'等级-经验对照'!$B$4,0,LOOKUP(D226,'等级-经验对照'!$B$4:$B$103,'等级-经验对照'!$A$4:$A$103))</f>
        <v>72</v>
      </c>
      <c r="F226" s="3" t="str">
        <f t="shared" si="6"/>
        <v/>
      </c>
    </row>
    <row r="227" spans="1:6">
      <c r="A227" s="6">
        <f>参数说明!$B$8+223</f>
        <v>46420</v>
      </c>
      <c r="B227" s="4">
        <v>223</v>
      </c>
      <c r="C227" s="4">
        <f>IF(B227=0,0,IF(B227&lt;=7,FORECAST(B227,参数说明!$B$24:$B$25,参数说明!$A$24:$A$25),IF(B227&lt;=30,FORECAST(B227,参数说明!$B$25:$B$26,参数说明!$A$25:$A$26),IF(B227&lt;=60,FORECAST(B227,参数说明!$B$26:$B$27,参数说明!$A$26:$A$27),IF(B227&lt;=90,FORECAST(B227,参数说明!$B$27:$B$28,参数说明!$A$27:$A$28),IF(B227&lt;=180,FORECAST(B227,参数说明!$B$28:$B$29,参数说明!$A$28:$A$29),FORECAST(B227,参数说明!$B$29:$B$30,参数说明!$A$29:$A$30)))))))</f>
        <v>84.6486486486486</v>
      </c>
      <c r="D227" s="4">
        <f t="shared" si="7"/>
        <v>14537.2702702703</v>
      </c>
      <c r="E227" s="4">
        <f>IF(D227&lt;'等级-经验对照'!$B$4,0,LOOKUP(D227,'等级-经验对照'!$B$4:$B$103,'等级-经验对照'!$A$4:$A$103))</f>
        <v>72</v>
      </c>
      <c r="F227" s="3" t="str">
        <f t="shared" si="6"/>
        <v/>
      </c>
    </row>
    <row r="228" spans="1:6">
      <c r="A228" s="6">
        <f>参数说明!$B$8+224</f>
        <v>46421</v>
      </c>
      <c r="B228" s="4">
        <v>224</v>
      </c>
      <c r="C228" s="4">
        <f>IF(B228=0,0,IF(B228&lt;=7,FORECAST(B228,参数说明!$B$24:$B$25,参数说明!$A$24:$A$25),IF(B228&lt;=30,FORECAST(B228,参数说明!$B$25:$B$26,参数说明!$A$25:$A$26),IF(B228&lt;=60,FORECAST(B228,参数说明!$B$26:$B$27,参数说明!$A$26:$A$27),IF(B228&lt;=90,FORECAST(B228,参数说明!$B$27:$B$28,参数说明!$A$27:$A$28),IF(B228&lt;=180,FORECAST(B228,参数说明!$B$28:$B$29,参数说明!$A$28:$A$29),FORECAST(B228,参数说明!$B$29:$B$30,参数说明!$A$29:$A$30)))))))</f>
        <v>84.7567567567568</v>
      </c>
      <c r="D228" s="4">
        <f t="shared" si="7"/>
        <v>14622.027027027</v>
      </c>
      <c r="E228" s="4">
        <f>IF(D228&lt;'等级-经验对照'!$B$4,0,LOOKUP(D228,'等级-经验对照'!$B$4:$B$103,'等级-经验对照'!$A$4:$A$103))</f>
        <v>72</v>
      </c>
      <c r="F228" s="3" t="str">
        <f t="shared" si="6"/>
        <v/>
      </c>
    </row>
    <row r="229" spans="1:6">
      <c r="A229" s="6">
        <f>参数说明!$B$8+225</f>
        <v>46422</v>
      </c>
      <c r="B229" s="4">
        <v>225</v>
      </c>
      <c r="C229" s="4">
        <f>IF(B229=0,0,IF(B229&lt;=7,FORECAST(B229,参数说明!$B$24:$B$25,参数说明!$A$24:$A$25),IF(B229&lt;=30,FORECAST(B229,参数说明!$B$25:$B$26,参数说明!$A$25:$A$26),IF(B229&lt;=60,FORECAST(B229,参数说明!$B$26:$B$27,参数说明!$A$26:$A$27),IF(B229&lt;=90,FORECAST(B229,参数说明!$B$27:$B$28,参数说明!$A$27:$A$28),IF(B229&lt;=180,FORECAST(B229,参数说明!$B$28:$B$29,参数说明!$A$28:$A$29),FORECAST(B229,参数说明!$B$29:$B$30,参数说明!$A$29:$A$30)))))))</f>
        <v>84.8648648648649</v>
      </c>
      <c r="D229" s="4">
        <f t="shared" si="7"/>
        <v>14706.8918918919</v>
      </c>
      <c r="E229" s="4">
        <f>IF(D229&lt;'等级-经验对照'!$B$4,0,LOOKUP(D229,'等级-经验对照'!$B$4:$B$103,'等级-经验对照'!$A$4:$A$103))</f>
        <v>72</v>
      </c>
      <c r="F229" s="3" t="str">
        <f t="shared" si="6"/>
        <v/>
      </c>
    </row>
    <row r="230" spans="1:6">
      <c r="A230" s="6">
        <f>参数说明!$B$8+226</f>
        <v>46423</v>
      </c>
      <c r="B230" s="4">
        <v>226</v>
      </c>
      <c r="C230" s="4">
        <f>IF(B230=0,0,IF(B230&lt;=7,FORECAST(B230,参数说明!$B$24:$B$25,参数说明!$A$24:$A$25),IF(B230&lt;=30,FORECAST(B230,参数说明!$B$25:$B$26,参数说明!$A$25:$A$26),IF(B230&lt;=60,FORECAST(B230,参数说明!$B$26:$B$27,参数说明!$A$26:$A$27),IF(B230&lt;=90,FORECAST(B230,参数说明!$B$27:$B$28,参数说明!$A$27:$A$28),IF(B230&lt;=180,FORECAST(B230,参数说明!$B$28:$B$29,参数说明!$A$28:$A$29),FORECAST(B230,参数说明!$B$29:$B$30,参数说明!$A$29:$A$30)))))))</f>
        <v>84.972972972973</v>
      </c>
      <c r="D230" s="4">
        <f t="shared" si="7"/>
        <v>14791.8648648649</v>
      </c>
      <c r="E230" s="4">
        <f>IF(D230&lt;'等级-经验对照'!$B$4,0,LOOKUP(D230,'等级-经验对照'!$B$4:$B$103,'等级-经验对照'!$A$4:$A$103))</f>
        <v>73</v>
      </c>
      <c r="F230" s="3" t="str">
        <f t="shared" si="6"/>
        <v/>
      </c>
    </row>
    <row r="231" spans="1:6">
      <c r="A231" s="6">
        <f>参数说明!$B$8+227</f>
        <v>46424</v>
      </c>
      <c r="B231" s="4">
        <v>227</v>
      </c>
      <c r="C231" s="4">
        <f>IF(B231=0,0,IF(B231&lt;=7,FORECAST(B231,参数说明!$B$24:$B$25,参数说明!$A$24:$A$25),IF(B231&lt;=30,FORECAST(B231,参数说明!$B$25:$B$26,参数说明!$A$25:$A$26),IF(B231&lt;=60,FORECAST(B231,参数说明!$B$26:$B$27,参数说明!$A$26:$A$27),IF(B231&lt;=90,FORECAST(B231,参数说明!$B$27:$B$28,参数说明!$A$27:$A$28),IF(B231&lt;=180,FORECAST(B231,参数说明!$B$28:$B$29,参数说明!$A$28:$A$29),FORECAST(B231,参数说明!$B$29:$B$30,参数说明!$A$29:$A$30)))))))</f>
        <v>85.0810810810811</v>
      </c>
      <c r="D231" s="4">
        <f t="shared" si="7"/>
        <v>14876.9459459459</v>
      </c>
      <c r="E231" s="4">
        <f>IF(D231&lt;'等级-经验对照'!$B$4,0,LOOKUP(D231,'等级-经验对照'!$B$4:$B$103,'等级-经验对照'!$A$4:$A$103))</f>
        <v>73</v>
      </c>
      <c r="F231" s="3" t="str">
        <f t="shared" si="6"/>
        <v/>
      </c>
    </row>
    <row r="232" spans="1:6">
      <c r="A232" s="6">
        <f>参数说明!$B$8+228</f>
        <v>46425</v>
      </c>
      <c r="B232" s="4">
        <v>228</v>
      </c>
      <c r="C232" s="4">
        <f>IF(B232=0,0,IF(B232&lt;=7,FORECAST(B232,参数说明!$B$24:$B$25,参数说明!$A$24:$A$25),IF(B232&lt;=30,FORECAST(B232,参数说明!$B$25:$B$26,参数说明!$A$25:$A$26),IF(B232&lt;=60,FORECAST(B232,参数说明!$B$26:$B$27,参数说明!$A$26:$A$27),IF(B232&lt;=90,FORECAST(B232,参数说明!$B$27:$B$28,参数说明!$A$27:$A$28),IF(B232&lt;=180,FORECAST(B232,参数说明!$B$28:$B$29,参数说明!$A$28:$A$29),FORECAST(B232,参数说明!$B$29:$B$30,参数说明!$A$29:$A$30)))))))</f>
        <v>85.1891891891892</v>
      </c>
      <c r="D232" s="4">
        <f t="shared" si="7"/>
        <v>14962.1351351351</v>
      </c>
      <c r="E232" s="4">
        <f>IF(D232&lt;'等级-经验对照'!$B$4,0,LOOKUP(D232,'等级-经验对照'!$B$4:$B$103,'等级-经验对照'!$A$4:$A$103))</f>
        <v>73</v>
      </c>
      <c r="F232" s="3" t="str">
        <f t="shared" si="6"/>
        <v/>
      </c>
    </row>
    <row r="233" spans="1:6">
      <c r="A233" s="6">
        <f>参数说明!$B$8+229</f>
        <v>46426</v>
      </c>
      <c r="B233" s="4">
        <v>229</v>
      </c>
      <c r="C233" s="4">
        <f>IF(B233=0,0,IF(B233&lt;=7,FORECAST(B233,参数说明!$B$24:$B$25,参数说明!$A$24:$A$25),IF(B233&lt;=30,FORECAST(B233,参数说明!$B$25:$B$26,参数说明!$A$25:$A$26),IF(B233&lt;=60,FORECAST(B233,参数说明!$B$26:$B$27,参数说明!$A$26:$A$27),IF(B233&lt;=90,FORECAST(B233,参数说明!$B$27:$B$28,参数说明!$A$27:$A$28),IF(B233&lt;=180,FORECAST(B233,参数说明!$B$28:$B$29,参数说明!$A$28:$A$29),FORECAST(B233,参数说明!$B$29:$B$30,参数说明!$A$29:$A$30)))))))</f>
        <v>85.2972972972973</v>
      </c>
      <c r="D233" s="4">
        <f t="shared" si="7"/>
        <v>15047.4324324324</v>
      </c>
      <c r="E233" s="4">
        <f>IF(D233&lt;'等级-经验对照'!$B$4,0,LOOKUP(D233,'等级-经验对照'!$B$4:$B$103,'等级-经验对照'!$A$4:$A$103))</f>
        <v>73</v>
      </c>
      <c r="F233" s="3" t="str">
        <f t="shared" si="6"/>
        <v/>
      </c>
    </row>
    <row r="234" spans="1:6">
      <c r="A234" s="6">
        <f>参数说明!$B$8+230</f>
        <v>46427</v>
      </c>
      <c r="B234" s="4">
        <v>230</v>
      </c>
      <c r="C234" s="4">
        <f>IF(B234=0,0,IF(B234&lt;=7,FORECAST(B234,参数说明!$B$24:$B$25,参数说明!$A$24:$A$25),IF(B234&lt;=30,FORECAST(B234,参数说明!$B$25:$B$26,参数说明!$A$25:$A$26),IF(B234&lt;=60,FORECAST(B234,参数说明!$B$26:$B$27,参数说明!$A$26:$A$27),IF(B234&lt;=90,FORECAST(B234,参数说明!$B$27:$B$28,参数说明!$A$27:$A$28),IF(B234&lt;=180,FORECAST(B234,参数说明!$B$28:$B$29,参数说明!$A$28:$A$29),FORECAST(B234,参数说明!$B$29:$B$30,参数说明!$A$29:$A$30)))))))</f>
        <v>85.4054054054054</v>
      </c>
      <c r="D234" s="4">
        <f t="shared" si="7"/>
        <v>15132.8378378378</v>
      </c>
      <c r="E234" s="4">
        <f>IF(D234&lt;'等级-经验对照'!$B$4,0,LOOKUP(D234,'等级-经验对照'!$B$4:$B$103,'等级-经验对照'!$A$4:$A$103))</f>
        <v>73</v>
      </c>
      <c r="F234" s="3" t="str">
        <f t="shared" si="6"/>
        <v/>
      </c>
    </row>
    <row r="235" spans="1:6">
      <c r="A235" s="6">
        <f>参数说明!$B$8+231</f>
        <v>46428</v>
      </c>
      <c r="B235" s="4">
        <v>231</v>
      </c>
      <c r="C235" s="4">
        <f>IF(B235=0,0,IF(B235&lt;=7,FORECAST(B235,参数说明!$B$24:$B$25,参数说明!$A$24:$A$25),IF(B235&lt;=30,FORECAST(B235,参数说明!$B$25:$B$26,参数说明!$A$25:$A$26),IF(B235&lt;=60,FORECAST(B235,参数说明!$B$26:$B$27,参数说明!$A$26:$A$27),IF(B235&lt;=90,FORECAST(B235,参数说明!$B$27:$B$28,参数说明!$A$27:$A$28),IF(B235&lt;=180,FORECAST(B235,参数说明!$B$28:$B$29,参数说明!$A$28:$A$29),FORECAST(B235,参数说明!$B$29:$B$30,参数说明!$A$29:$A$30)))))))</f>
        <v>85.5135135135135</v>
      </c>
      <c r="D235" s="4">
        <f t="shared" si="7"/>
        <v>15218.3513513514</v>
      </c>
      <c r="E235" s="4">
        <f>IF(D235&lt;'等级-经验对照'!$B$4,0,LOOKUP(D235,'等级-经验对照'!$B$4:$B$103,'等级-经验对照'!$A$4:$A$103))</f>
        <v>73</v>
      </c>
      <c r="F235" s="3" t="str">
        <f t="shared" si="6"/>
        <v/>
      </c>
    </row>
    <row r="236" spans="1:6">
      <c r="A236" s="6">
        <f>参数说明!$B$8+232</f>
        <v>46429</v>
      </c>
      <c r="B236" s="4">
        <v>232</v>
      </c>
      <c r="C236" s="4">
        <f>IF(B236=0,0,IF(B236&lt;=7,FORECAST(B236,参数说明!$B$24:$B$25,参数说明!$A$24:$A$25),IF(B236&lt;=30,FORECAST(B236,参数说明!$B$25:$B$26,参数说明!$A$25:$A$26),IF(B236&lt;=60,FORECAST(B236,参数说明!$B$26:$B$27,参数说明!$A$26:$A$27),IF(B236&lt;=90,FORECAST(B236,参数说明!$B$27:$B$28,参数说明!$A$27:$A$28),IF(B236&lt;=180,FORECAST(B236,参数说明!$B$28:$B$29,参数说明!$A$28:$A$29),FORECAST(B236,参数说明!$B$29:$B$30,参数说明!$A$29:$A$30)))))))</f>
        <v>85.6216216216216</v>
      </c>
      <c r="D236" s="4">
        <f t="shared" si="7"/>
        <v>15303.972972973</v>
      </c>
      <c r="E236" s="4">
        <f>IF(D236&lt;'等级-经验对照'!$B$4,0,LOOKUP(D236,'等级-经验对照'!$B$4:$B$103,'等级-经验对照'!$A$4:$A$103))</f>
        <v>74</v>
      </c>
      <c r="F236" s="3" t="str">
        <f t="shared" si="6"/>
        <v/>
      </c>
    </row>
    <row r="237" spans="1:6">
      <c r="A237" s="6">
        <f>参数说明!$B$8+233</f>
        <v>46430</v>
      </c>
      <c r="B237" s="4">
        <v>233</v>
      </c>
      <c r="C237" s="4">
        <f>IF(B237=0,0,IF(B237&lt;=7,FORECAST(B237,参数说明!$B$24:$B$25,参数说明!$A$24:$A$25),IF(B237&lt;=30,FORECAST(B237,参数说明!$B$25:$B$26,参数说明!$A$25:$A$26),IF(B237&lt;=60,FORECAST(B237,参数说明!$B$26:$B$27,参数说明!$A$26:$A$27),IF(B237&lt;=90,FORECAST(B237,参数说明!$B$27:$B$28,参数说明!$A$27:$A$28),IF(B237&lt;=180,FORECAST(B237,参数说明!$B$28:$B$29,参数说明!$A$28:$A$29),FORECAST(B237,参数说明!$B$29:$B$30,参数说明!$A$29:$A$30)))))))</f>
        <v>85.7297297297297</v>
      </c>
      <c r="D237" s="4">
        <f t="shared" si="7"/>
        <v>15389.7027027027</v>
      </c>
      <c r="E237" s="4">
        <f>IF(D237&lt;'等级-经验对照'!$B$4,0,LOOKUP(D237,'等级-经验对照'!$B$4:$B$103,'等级-经验对照'!$A$4:$A$103))</f>
        <v>74</v>
      </c>
      <c r="F237" s="3" t="str">
        <f t="shared" si="6"/>
        <v/>
      </c>
    </row>
    <row r="238" spans="1:6">
      <c r="A238" s="6">
        <f>参数说明!$B$8+234</f>
        <v>46431</v>
      </c>
      <c r="B238" s="4">
        <v>234</v>
      </c>
      <c r="C238" s="4">
        <f>IF(B238=0,0,IF(B238&lt;=7,FORECAST(B238,参数说明!$B$24:$B$25,参数说明!$A$24:$A$25),IF(B238&lt;=30,FORECAST(B238,参数说明!$B$25:$B$26,参数说明!$A$25:$A$26),IF(B238&lt;=60,FORECAST(B238,参数说明!$B$26:$B$27,参数说明!$A$26:$A$27),IF(B238&lt;=90,FORECAST(B238,参数说明!$B$27:$B$28,参数说明!$A$27:$A$28),IF(B238&lt;=180,FORECAST(B238,参数说明!$B$28:$B$29,参数说明!$A$28:$A$29),FORECAST(B238,参数说明!$B$29:$B$30,参数说明!$A$29:$A$30)))))))</f>
        <v>85.8378378378378</v>
      </c>
      <c r="D238" s="4">
        <f t="shared" si="7"/>
        <v>15475.5405405405</v>
      </c>
      <c r="E238" s="4">
        <f>IF(D238&lt;'等级-经验对照'!$B$4,0,LOOKUP(D238,'等级-经验对照'!$B$4:$B$103,'等级-经验对照'!$A$4:$A$103))</f>
        <v>74</v>
      </c>
      <c r="F238" s="3" t="str">
        <f t="shared" si="6"/>
        <v/>
      </c>
    </row>
    <row r="239" spans="1:6">
      <c r="A239" s="6">
        <f>参数说明!$B$8+235</f>
        <v>46432</v>
      </c>
      <c r="B239" s="4">
        <v>235</v>
      </c>
      <c r="C239" s="4">
        <f>IF(B239=0,0,IF(B239&lt;=7,FORECAST(B239,参数说明!$B$24:$B$25,参数说明!$A$24:$A$25),IF(B239&lt;=30,FORECAST(B239,参数说明!$B$25:$B$26,参数说明!$A$25:$A$26),IF(B239&lt;=60,FORECAST(B239,参数说明!$B$26:$B$27,参数说明!$A$26:$A$27),IF(B239&lt;=90,FORECAST(B239,参数说明!$B$27:$B$28,参数说明!$A$27:$A$28),IF(B239&lt;=180,FORECAST(B239,参数说明!$B$28:$B$29,参数说明!$A$28:$A$29),FORECAST(B239,参数说明!$B$29:$B$30,参数说明!$A$29:$A$30)))))))</f>
        <v>85.945945945946</v>
      </c>
      <c r="D239" s="4">
        <f t="shared" si="7"/>
        <v>15561.4864864865</v>
      </c>
      <c r="E239" s="4">
        <f>IF(D239&lt;'等级-经验对照'!$B$4,0,LOOKUP(D239,'等级-经验对照'!$B$4:$B$103,'等级-经验对照'!$A$4:$A$103))</f>
        <v>74</v>
      </c>
      <c r="F239" s="3" t="str">
        <f t="shared" si="6"/>
        <v/>
      </c>
    </row>
    <row r="240" spans="1:6">
      <c r="A240" s="6">
        <f>参数说明!$B$8+236</f>
        <v>46433</v>
      </c>
      <c r="B240" s="4">
        <v>236</v>
      </c>
      <c r="C240" s="4">
        <f>IF(B240=0,0,IF(B240&lt;=7,FORECAST(B240,参数说明!$B$24:$B$25,参数说明!$A$24:$A$25),IF(B240&lt;=30,FORECAST(B240,参数说明!$B$25:$B$26,参数说明!$A$25:$A$26),IF(B240&lt;=60,FORECAST(B240,参数说明!$B$26:$B$27,参数说明!$A$26:$A$27),IF(B240&lt;=90,FORECAST(B240,参数说明!$B$27:$B$28,参数说明!$A$27:$A$28),IF(B240&lt;=180,FORECAST(B240,参数说明!$B$28:$B$29,参数说明!$A$28:$A$29),FORECAST(B240,参数说明!$B$29:$B$30,参数说明!$A$29:$A$30)))))))</f>
        <v>86.0540540540541</v>
      </c>
      <c r="D240" s="4">
        <f t="shared" si="7"/>
        <v>15647.5405405405</v>
      </c>
      <c r="E240" s="4">
        <f>IF(D240&lt;'等级-经验对照'!$B$4,0,LOOKUP(D240,'等级-经验对照'!$B$4:$B$103,'等级-经验对照'!$A$4:$A$103))</f>
        <v>74</v>
      </c>
      <c r="F240" s="3" t="str">
        <f t="shared" si="6"/>
        <v/>
      </c>
    </row>
    <row r="241" spans="1:6">
      <c r="A241" s="6">
        <f>参数说明!$B$8+237</f>
        <v>46434</v>
      </c>
      <c r="B241" s="4">
        <v>237</v>
      </c>
      <c r="C241" s="4">
        <f>IF(B241=0,0,IF(B241&lt;=7,FORECAST(B241,参数说明!$B$24:$B$25,参数说明!$A$24:$A$25),IF(B241&lt;=30,FORECAST(B241,参数说明!$B$25:$B$26,参数说明!$A$25:$A$26),IF(B241&lt;=60,FORECAST(B241,参数说明!$B$26:$B$27,参数说明!$A$26:$A$27),IF(B241&lt;=90,FORECAST(B241,参数说明!$B$27:$B$28,参数说明!$A$27:$A$28),IF(B241&lt;=180,FORECAST(B241,参数说明!$B$28:$B$29,参数说明!$A$28:$A$29),FORECAST(B241,参数说明!$B$29:$B$30,参数说明!$A$29:$A$30)))))))</f>
        <v>86.1621621621622</v>
      </c>
      <c r="D241" s="4">
        <f t="shared" si="7"/>
        <v>15733.7027027027</v>
      </c>
      <c r="E241" s="4">
        <f>IF(D241&lt;'等级-经验对照'!$B$4,0,LOOKUP(D241,'等级-经验对照'!$B$4:$B$103,'等级-经验对照'!$A$4:$A$103))</f>
        <v>74</v>
      </c>
      <c r="F241" s="3" t="str">
        <f t="shared" si="6"/>
        <v/>
      </c>
    </row>
    <row r="242" spans="1:6">
      <c r="A242" s="6">
        <f>参数说明!$B$8+238</f>
        <v>46435</v>
      </c>
      <c r="B242" s="4">
        <v>238</v>
      </c>
      <c r="C242" s="4">
        <f>IF(B242=0,0,IF(B242&lt;=7,FORECAST(B242,参数说明!$B$24:$B$25,参数说明!$A$24:$A$25),IF(B242&lt;=30,FORECAST(B242,参数说明!$B$25:$B$26,参数说明!$A$25:$A$26),IF(B242&lt;=60,FORECAST(B242,参数说明!$B$26:$B$27,参数说明!$A$26:$A$27),IF(B242&lt;=90,FORECAST(B242,参数说明!$B$27:$B$28,参数说明!$A$27:$A$28),IF(B242&lt;=180,FORECAST(B242,参数说明!$B$28:$B$29,参数说明!$A$28:$A$29),FORECAST(B242,参数说明!$B$29:$B$30,参数说明!$A$29:$A$30)))))))</f>
        <v>86.2702702702703</v>
      </c>
      <c r="D242" s="4">
        <f t="shared" si="7"/>
        <v>15819.972972973</v>
      </c>
      <c r="E242" s="4">
        <f>IF(D242&lt;'等级-经验对照'!$B$4,0,LOOKUP(D242,'等级-经验对照'!$B$4:$B$103,'等级-经验对照'!$A$4:$A$103))</f>
        <v>75</v>
      </c>
      <c r="F242" s="3" t="str">
        <f t="shared" si="6"/>
        <v/>
      </c>
    </row>
    <row r="243" spans="1:6">
      <c r="A243" s="6">
        <f>参数说明!$B$8+239</f>
        <v>46436</v>
      </c>
      <c r="B243" s="4">
        <v>239</v>
      </c>
      <c r="C243" s="4">
        <f>IF(B243=0,0,IF(B243&lt;=7,FORECAST(B243,参数说明!$B$24:$B$25,参数说明!$A$24:$A$25),IF(B243&lt;=30,FORECAST(B243,参数说明!$B$25:$B$26,参数说明!$A$25:$A$26),IF(B243&lt;=60,FORECAST(B243,参数说明!$B$26:$B$27,参数说明!$A$26:$A$27),IF(B243&lt;=90,FORECAST(B243,参数说明!$B$27:$B$28,参数说明!$A$27:$A$28),IF(B243&lt;=180,FORECAST(B243,参数说明!$B$28:$B$29,参数说明!$A$28:$A$29),FORECAST(B243,参数说明!$B$29:$B$30,参数说明!$A$29:$A$30)))))))</f>
        <v>86.3783783783784</v>
      </c>
      <c r="D243" s="4">
        <f t="shared" si="7"/>
        <v>15906.3513513514</v>
      </c>
      <c r="E243" s="4">
        <f>IF(D243&lt;'等级-经验对照'!$B$4,0,LOOKUP(D243,'等级-经验对照'!$B$4:$B$103,'等级-经验对照'!$A$4:$A$103))</f>
        <v>75</v>
      </c>
      <c r="F243" s="3" t="str">
        <f t="shared" si="6"/>
        <v/>
      </c>
    </row>
    <row r="244" spans="1:6">
      <c r="A244" s="6">
        <f>参数说明!$B$8+240</f>
        <v>46437</v>
      </c>
      <c r="B244" s="4">
        <v>240</v>
      </c>
      <c r="C244" s="4">
        <f>IF(B244=0,0,IF(B244&lt;=7,FORECAST(B244,参数说明!$B$24:$B$25,参数说明!$A$24:$A$25),IF(B244&lt;=30,FORECAST(B244,参数说明!$B$25:$B$26,参数说明!$A$25:$A$26),IF(B244&lt;=60,FORECAST(B244,参数说明!$B$26:$B$27,参数说明!$A$26:$A$27),IF(B244&lt;=90,FORECAST(B244,参数说明!$B$27:$B$28,参数说明!$A$27:$A$28),IF(B244&lt;=180,FORECAST(B244,参数说明!$B$28:$B$29,参数说明!$A$28:$A$29),FORECAST(B244,参数说明!$B$29:$B$30,参数说明!$A$29:$A$30)))))))</f>
        <v>86.4864864864865</v>
      </c>
      <c r="D244" s="4">
        <f t="shared" si="7"/>
        <v>15992.8378378378</v>
      </c>
      <c r="E244" s="4">
        <f>IF(D244&lt;'等级-经验对照'!$B$4,0,LOOKUP(D244,'等级-经验对照'!$B$4:$B$103,'等级-经验对照'!$A$4:$A$103))</f>
        <v>75</v>
      </c>
      <c r="F244" s="3" t="str">
        <f t="shared" si="6"/>
        <v/>
      </c>
    </row>
    <row r="245" spans="1:6">
      <c r="A245" s="6">
        <f>参数说明!$B$8+241</f>
        <v>46438</v>
      </c>
      <c r="B245" s="4">
        <v>241</v>
      </c>
      <c r="C245" s="4">
        <f>IF(B245=0,0,IF(B245&lt;=7,FORECAST(B245,参数说明!$B$24:$B$25,参数说明!$A$24:$A$25),IF(B245&lt;=30,FORECAST(B245,参数说明!$B$25:$B$26,参数说明!$A$25:$A$26),IF(B245&lt;=60,FORECAST(B245,参数说明!$B$26:$B$27,参数说明!$A$26:$A$27),IF(B245&lt;=90,FORECAST(B245,参数说明!$B$27:$B$28,参数说明!$A$27:$A$28),IF(B245&lt;=180,FORECAST(B245,参数说明!$B$28:$B$29,参数说明!$A$28:$A$29),FORECAST(B245,参数说明!$B$29:$B$30,参数说明!$A$29:$A$30)))))))</f>
        <v>86.5945945945946</v>
      </c>
      <c r="D245" s="4">
        <f t="shared" si="7"/>
        <v>16079.4324324324</v>
      </c>
      <c r="E245" s="4">
        <f>IF(D245&lt;'等级-经验对照'!$B$4,0,LOOKUP(D245,'等级-经验对照'!$B$4:$B$103,'等级-经验对照'!$A$4:$A$103))</f>
        <v>75</v>
      </c>
      <c r="F245" s="3" t="str">
        <f t="shared" si="6"/>
        <v/>
      </c>
    </row>
    <row r="246" spans="1:6">
      <c r="A246" s="6">
        <f>参数说明!$B$8+242</f>
        <v>46439</v>
      </c>
      <c r="B246" s="4">
        <v>242</v>
      </c>
      <c r="C246" s="4">
        <f>IF(B246=0,0,IF(B246&lt;=7,FORECAST(B246,参数说明!$B$24:$B$25,参数说明!$A$24:$A$25),IF(B246&lt;=30,FORECAST(B246,参数说明!$B$25:$B$26,参数说明!$A$25:$A$26),IF(B246&lt;=60,FORECAST(B246,参数说明!$B$26:$B$27,参数说明!$A$26:$A$27),IF(B246&lt;=90,FORECAST(B246,参数说明!$B$27:$B$28,参数说明!$A$27:$A$28),IF(B246&lt;=180,FORECAST(B246,参数说明!$B$28:$B$29,参数说明!$A$28:$A$29),FORECAST(B246,参数说明!$B$29:$B$30,参数说明!$A$29:$A$30)))))))</f>
        <v>86.7027027027027</v>
      </c>
      <c r="D246" s="4">
        <f t="shared" si="7"/>
        <v>16166.1351351351</v>
      </c>
      <c r="E246" s="4">
        <f>IF(D246&lt;'等级-经验对照'!$B$4,0,LOOKUP(D246,'等级-经验对照'!$B$4:$B$103,'等级-经验对照'!$A$4:$A$103))</f>
        <v>75</v>
      </c>
      <c r="F246" s="3" t="str">
        <f t="shared" si="6"/>
        <v/>
      </c>
    </row>
    <row r="247" spans="1:6">
      <c r="A247" s="6">
        <f>参数说明!$B$8+243</f>
        <v>46440</v>
      </c>
      <c r="B247" s="4">
        <v>243</v>
      </c>
      <c r="C247" s="4">
        <f>IF(B247=0,0,IF(B247&lt;=7,FORECAST(B247,参数说明!$B$24:$B$25,参数说明!$A$24:$A$25),IF(B247&lt;=30,FORECAST(B247,参数说明!$B$25:$B$26,参数说明!$A$25:$A$26),IF(B247&lt;=60,FORECAST(B247,参数说明!$B$26:$B$27,参数说明!$A$26:$A$27),IF(B247&lt;=90,FORECAST(B247,参数说明!$B$27:$B$28,参数说明!$A$27:$A$28),IF(B247&lt;=180,FORECAST(B247,参数说明!$B$28:$B$29,参数说明!$A$28:$A$29),FORECAST(B247,参数说明!$B$29:$B$30,参数说明!$A$29:$A$30)))))))</f>
        <v>86.8108108108108</v>
      </c>
      <c r="D247" s="4">
        <f t="shared" si="7"/>
        <v>16252.9459459459</v>
      </c>
      <c r="E247" s="4">
        <f>IF(D247&lt;'等级-经验对照'!$B$4,0,LOOKUP(D247,'等级-经验对照'!$B$4:$B$103,'等级-经验对照'!$A$4:$A$103))</f>
        <v>76</v>
      </c>
      <c r="F247" s="3" t="str">
        <f t="shared" si="6"/>
        <v/>
      </c>
    </row>
    <row r="248" spans="1:6">
      <c r="A248" s="6">
        <f>参数说明!$B$8+244</f>
        <v>46441</v>
      </c>
      <c r="B248" s="4">
        <v>244</v>
      </c>
      <c r="C248" s="4">
        <f>IF(B248=0,0,IF(B248&lt;=7,FORECAST(B248,参数说明!$B$24:$B$25,参数说明!$A$24:$A$25),IF(B248&lt;=30,FORECAST(B248,参数说明!$B$25:$B$26,参数说明!$A$25:$A$26),IF(B248&lt;=60,FORECAST(B248,参数说明!$B$26:$B$27,参数说明!$A$26:$A$27),IF(B248&lt;=90,FORECAST(B248,参数说明!$B$27:$B$28,参数说明!$A$27:$A$28),IF(B248&lt;=180,FORECAST(B248,参数说明!$B$28:$B$29,参数说明!$A$28:$A$29),FORECAST(B248,参数说明!$B$29:$B$30,参数说明!$A$29:$A$30)))))))</f>
        <v>86.9189189189189</v>
      </c>
      <c r="D248" s="4">
        <f t="shared" si="7"/>
        <v>16339.8648648649</v>
      </c>
      <c r="E248" s="4">
        <f>IF(D248&lt;'等级-经验对照'!$B$4,0,LOOKUP(D248,'等级-经验对照'!$B$4:$B$103,'等级-经验对照'!$A$4:$A$103))</f>
        <v>76</v>
      </c>
      <c r="F248" s="3" t="str">
        <f t="shared" si="6"/>
        <v/>
      </c>
    </row>
    <row r="249" spans="1:6">
      <c r="A249" s="6">
        <f>参数说明!$B$8+245</f>
        <v>46442</v>
      </c>
      <c r="B249" s="4">
        <v>245</v>
      </c>
      <c r="C249" s="4">
        <f>IF(B249=0,0,IF(B249&lt;=7,FORECAST(B249,参数说明!$B$24:$B$25,参数说明!$A$24:$A$25),IF(B249&lt;=30,FORECAST(B249,参数说明!$B$25:$B$26,参数说明!$A$25:$A$26),IF(B249&lt;=60,FORECAST(B249,参数说明!$B$26:$B$27,参数说明!$A$26:$A$27),IF(B249&lt;=90,FORECAST(B249,参数说明!$B$27:$B$28,参数说明!$A$27:$A$28),IF(B249&lt;=180,FORECAST(B249,参数说明!$B$28:$B$29,参数说明!$A$28:$A$29),FORECAST(B249,参数说明!$B$29:$B$30,参数说明!$A$29:$A$30)))))))</f>
        <v>87.027027027027</v>
      </c>
      <c r="D249" s="4">
        <f t="shared" si="7"/>
        <v>16426.8918918919</v>
      </c>
      <c r="E249" s="4">
        <f>IF(D249&lt;'等级-经验对照'!$B$4,0,LOOKUP(D249,'等级-经验对照'!$B$4:$B$103,'等级-经验对照'!$A$4:$A$103))</f>
        <v>76</v>
      </c>
      <c r="F249" s="3" t="str">
        <f t="shared" si="6"/>
        <v/>
      </c>
    </row>
    <row r="250" spans="1:6">
      <c r="A250" s="6">
        <f>参数说明!$B$8+246</f>
        <v>46443</v>
      </c>
      <c r="B250" s="4">
        <v>246</v>
      </c>
      <c r="C250" s="4">
        <f>IF(B250=0,0,IF(B250&lt;=7,FORECAST(B250,参数说明!$B$24:$B$25,参数说明!$A$24:$A$25),IF(B250&lt;=30,FORECAST(B250,参数说明!$B$25:$B$26,参数说明!$A$25:$A$26),IF(B250&lt;=60,FORECAST(B250,参数说明!$B$26:$B$27,参数说明!$A$26:$A$27),IF(B250&lt;=90,FORECAST(B250,参数说明!$B$27:$B$28,参数说明!$A$27:$A$28),IF(B250&lt;=180,FORECAST(B250,参数说明!$B$28:$B$29,参数说明!$A$28:$A$29),FORECAST(B250,参数说明!$B$29:$B$30,参数说明!$A$29:$A$30)))))))</f>
        <v>87.1351351351351</v>
      </c>
      <c r="D250" s="4">
        <f t="shared" si="7"/>
        <v>16514.027027027</v>
      </c>
      <c r="E250" s="4">
        <f>IF(D250&lt;'等级-经验对照'!$B$4,0,LOOKUP(D250,'等级-经验对照'!$B$4:$B$103,'等级-经验对照'!$A$4:$A$103))</f>
        <v>76</v>
      </c>
      <c r="F250" s="3" t="str">
        <f t="shared" si="6"/>
        <v/>
      </c>
    </row>
    <row r="251" spans="1:6">
      <c r="A251" s="6">
        <f>参数说明!$B$8+247</f>
        <v>46444</v>
      </c>
      <c r="B251" s="4">
        <v>247</v>
      </c>
      <c r="C251" s="4">
        <f>IF(B251=0,0,IF(B251&lt;=7,FORECAST(B251,参数说明!$B$24:$B$25,参数说明!$A$24:$A$25),IF(B251&lt;=30,FORECAST(B251,参数说明!$B$25:$B$26,参数说明!$A$25:$A$26),IF(B251&lt;=60,FORECAST(B251,参数说明!$B$26:$B$27,参数说明!$A$26:$A$27),IF(B251&lt;=90,FORECAST(B251,参数说明!$B$27:$B$28,参数说明!$A$27:$A$28),IF(B251&lt;=180,FORECAST(B251,参数说明!$B$28:$B$29,参数说明!$A$28:$A$29),FORECAST(B251,参数说明!$B$29:$B$30,参数说明!$A$29:$A$30)))))))</f>
        <v>87.2432432432432</v>
      </c>
      <c r="D251" s="4">
        <f t="shared" si="7"/>
        <v>16601.2702702703</v>
      </c>
      <c r="E251" s="4">
        <f>IF(D251&lt;'等级-经验对照'!$B$4,0,LOOKUP(D251,'等级-经验对照'!$B$4:$B$103,'等级-经验对照'!$A$4:$A$103))</f>
        <v>76</v>
      </c>
      <c r="F251" s="3" t="str">
        <f t="shared" si="6"/>
        <v/>
      </c>
    </row>
    <row r="252" spans="1:6">
      <c r="A252" s="6">
        <f>参数说明!$B$8+248</f>
        <v>46445</v>
      </c>
      <c r="B252" s="4">
        <v>248</v>
      </c>
      <c r="C252" s="4">
        <f>IF(B252=0,0,IF(B252&lt;=7,FORECAST(B252,参数说明!$B$24:$B$25,参数说明!$A$24:$A$25),IF(B252&lt;=30,FORECAST(B252,参数说明!$B$25:$B$26,参数说明!$A$25:$A$26),IF(B252&lt;=60,FORECAST(B252,参数说明!$B$26:$B$27,参数说明!$A$26:$A$27),IF(B252&lt;=90,FORECAST(B252,参数说明!$B$27:$B$28,参数说明!$A$27:$A$28),IF(B252&lt;=180,FORECAST(B252,参数说明!$B$28:$B$29,参数说明!$A$28:$A$29),FORECAST(B252,参数说明!$B$29:$B$30,参数说明!$A$29:$A$30)))))))</f>
        <v>87.3513513513514</v>
      </c>
      <c r="D252" s="4">
        <f t="shared" si="7"/>
        <v>16688.6216216216</v>
      </c>
      <c r="E252" s="4">
        <f>IF(D252&lt;'等级-经验对照'!$B$4,0,LOOKUP(D252,'等级-经验对照'!$B$4:$B$103,'等级-经验对照'!$A$4:$A$103))</f>
        <v>76</v>
      </c>
      <c r="F252" s="3" t="str">
        <f t="shared" si="6"/>
        <v/>
      </c>
    </row>
    <row r="253" spans="1:6">
      <c r="A253" s="6">
        <f>参数说明!$B$8+249</f>
        <v>46446</v>
      </c>
      <c r="B253" s="4">
        <v>249</v>
      </c>
      <c r="C253" s="4">
        <f>IF(B253=0,0,IF(B253&lt;=7,FORECAST(B253,参数说明!$B$24:$B$25,参数说明!$A$24:$A$25),IF(B253&lt;=30,FORECAST(B253,参数说明!$B$25:$B$26,参数说明!$A$25:$A$26),IF(B253&lt;=60,FORECAST(B253,参数说明!$B$26:$B$27,参数说明!$A$26:$A$27),IF(B253&lt;=90,FORECAST(B253,参数说明!$B$27:$B$28,参数说明!$A$27:$A$28),IF(B253&lt;=180,FORECAST(B253,参数说明!$B$28:$B$29,参数说明!$A$28:$A$29),FORECAST(B253,参数说明!$B$29:$B$30,参数说明!$A$29:$A$30)))))))</f>
        <v>87.4594594594595</v>
      </c>
      <c r="D253" s="4">
        <f t="shared" si="7"/>
        <v>16776.0810810811</v>
      </c>
      <c r="E253" s="4">
        <f>IF(D253&lt;'等级-经验对照'!$B$4,0,LOOKUP(D253,'等级-经验对照'!$B$4:$B$103,'等级-经验对照'!$A$4:$A$103))</f>
        <v>77</v>
      </c>
      <c r="F253" s="3" t="str">
        <f t="shared" si="6"/>
        <v/>
      </c>
    </row>
    <row r="254" spans="1:6">
      <c r="A254" s="6">
        <f>参数说明!$B$8+250</f>
        <v>46447</v>
      </c>
      <c r="B254" s="4">
        <v>250</v>
      </c>
      <c r="C254" s="4">
        <f>IF(B254=0,0,IF(B254&lt;=7,FORECAST(B254,参数说明!$B$24:$B$25,参数说明!$A$24:$A$25),IF(B254&lt;=30,FORECAST(B254,参数说明!$B$25:$B$26,参数说明!$A$25:$A$26),IF(B254&lt;=60,FORECAST(B254,参数说明!$B$26:$B$27,参数说明!$A$26:$A$27),IF(B254&lt;=90,FORECAST(B254,参数说明!$B$27:$B$28,参数说明!$A$27:$A$28),IF(B254&lt;=180,FORECAST(B254,参数说明!$B$28:$B$29,参数说明!$A$28:$A$29),FORECAST(B254,参数说明!$B$29:$B$30,参数说明!$A$29:$A$30)))))))</f>
        <v>87.5675675675676</v>
      </c>
      <c r="D254" s="4">
        <f t="shared" si="7"/>
        <v>16863.6486486487</v>
      </c>
      <c r="E254" s="4">
        <f>IF(D254&lt;'等级-经验对照'!$B$4,0,LOOKUP(D254,'等级-经验对照'!$B$4:$B$103,'等级-经验对照'!$A$4:$A$103))</f>
        <v>77</v>
      </c>
      <c r="F254" s="3" t="str">
        <f t="shared" si="6"/>
        <v/>
      </c>
    </row>
    <row r="255" spans="1:6">
      <c r="A255" s="6">
        <f>参数说明!$B$8+251</f>
        <v>46448</v>
      </c>
      <c r="B255" s="4">
        <v>251</v>
      </c>
      <c r="C255" s="4">
        <f>IF(B255=0,0,IF(B255&lt;=7,FORECAST(B255,参数说明!$B$24:$B$25,参数说明!$A$24:$A$25),IF(B255&lt;=30,FORECAST(B255,参数说明!$B$25:$B$26,参数说明!$A$25:$A$26),IF(B255&lt;=60,FORECAST(B255,参数说明!$B$26:$B$27,参数说明!$A$26:$A$27),IF(B255&lt;=90,FORECAST(B255,参数说明!$B$27:$B$28,参数说明!$A$27:$A$28),IF(B255&lt;=180,FORECAST(B255,参数说明!$B$28:$B$29,参数说明!$A$28:$A$29),FORECAST(B255,参数说明!$B$29:$B$30,参数说明!$A$29:$A$30)))))))</f>
        <v>87.6756756756757</v>
      </c>
      <c r="D255" s="4">
        <f t="shared" si="7"/>
        <v>16951.3243243243</v>
      </c>
      <c r="E255" s="4">
        <f>IF(D255&lt;'等级-经验对照'!$B$4,0,LOOKUP(D255,'等级-经验对照'!$B$4:$B$103,'等级-经验对照'!$A$4:$A$103))</f>
        <v>77</v>
      </c>
      <c r="F255" s="3" t="str">
        <f t="shared" si="6"/>
        <v/>
      </c>
    </row>
    <row r="256" spans="1:6">
      <c r="A256" s="6">
        <f>参数说明!$B$8+252</f>
        <v>46449</v>
      </c>
      <c r="B256" s="4">
        <v>252</v>
      </c>
      <c r="C256" s="4">
        <f>IF(B256=0,0,IF(B256&lt;=7,FORECAST(B256,参数说明!$B$24:$B$25,参数说明!$A$24:$A$25),IF(B256&lt;=30,FORECAST(B256,参数说明!$B$25:$B$26,参数说明!$A$25:$A$26),IF(B256&lt;=60,FORECAST(B256,参数说明!$B$26:$B$27,参数说明!$A$26:$A$27),IF(B256&lt;=90,FORECAST(B256,参数说明!$B$27:$B$28,参数说明!$A$27:$A$28),IF(B256&lt;=180,FORECAST(B256,参数说明!$B$28:$B$29,参数说明!$A$28:$A$29),FORECAST(B256,参数说明!$B$29:$B$30,参数说明!$A$29:$A$30)))))))</f>
        <v>87.7837837837838</v>
      </c>
      <c r="D256" s="4">
        <f t="shared" si="7"/>
        <v>17039.1081081081</v>
      </c>
      <c r="E256" s="4">
        <f>IF(D256&lt;'等级-经验对照'!$B$4,0,LOOKUP(D256,'等级-经验对照'!$B$4:$B$103,'等级-经验对照'!$A$4:$A$103))</f>
        <v>77</v>
      </c>
      <c r="F256" s="3" t="str">
        <f t="shared" si="6"/>
        <v/>
      </c>
    </row>
    <row r="257" spans="1:6">
      <c r="A257" s="6">
        <f>参数说明!$B$8+253</f>
        <v>46450</v>
      </c>
      <c r="B257" s="4">
        <v>253</v>
      </c>
      <c r="C257" s="4">
        <f>IF(B257=0,0,IF(B257&lt;=7,FORECAST(B257,参数说明!$B$24:$B$25,参数说明!$A$24:$A$25),IF(B257&lt;=30,FORECAST(B257,参数说明!$B$25:$B$26,参数说明!$A$25:$A$26),IF(B257&lt;=60,FORECAST(B257,参数说明!$B$26:$B$27,参数说明!$A$26:$A$27),IF(B257&lt;=90,FORECAST(B257,参数说明!$B$27:$B$28,参数说明!$A$27:$A$28),IF(B257&lt;=180,FORECAST(B257,参数说明!$B$28:$B$29,参数说明!$A$28:$A$29),FORECAST(B257,参数说明!$B$29:$B$30,参数说明!$A$29:$A$30)))))))</f>
        <v>87.8918918918919</v>
      </c>
      <c r="D257" s="4">
        <f t="shared" si="7"/>
        <v>17127</v>
      </c>
      <c r="E257" s="4">
        <f>IF(D257&lt;'等级-经验对照'!$B$4,0,LOOKUP(D257,'等级-经验对照'!$B$4:$B$103,'等级-经验对照'!$A$4:$A$103))</f>
        <v>77</v>
      </c>
      <c r="F257" s="3" t="str">
        <f t="shared" si="6"/>
        <v/>
      </c>
    </row>
    <row r="258" spans="1:6">
      <c r="A258" s="6">
        <f>参数说明!$B$8+254</f>
        <v>46451</v>
      </c>
      <c r="B258" s="4">
        <v>254</v>
      </c>
      <c r="C258" s="4">
        <f>IF(B258=0,0,IF(B258&lt;=7,FORECAST(B258,参数说明!$B$24:$B$25,参数说明!$A$24:$A$25),IF(B258&lt;=30,FORECAST(B258,参数说明!$B$25:$B$26,参数说明!$A$25:$A$26),IF(B258&lt;=60,FORECAST(B258,参数说明!$B$26:$B$27,参数说明!$A$26:$A$27),IF(B258&lt;=90,FORECAST(B258,参数说明!$B$27:$B$28,参数说明!$A$27:$A$28),IF(B258&lt;=180,FORECAST(B258,参数说明!$B$28:$B$29,参数说明!$A$28:$A$29),FORECAST(B258,参数说明!$B$29:$B$30,参数说明!$A$29:$A$30)))))))</f>
        <v>88</v>
      </c>
      <c r="D258" s="4">
        <f t="shared" si="7"/>
        <v>17215</v>
      </c>
      <c r="E258" s="4">
        <f>IF(D258&lt;'等级-经验对照'!$B$4,0,LOOKUP(D258,'等级-经验对照'!$B$4:$B$103,'等级-经验对照'!$A$4:$A$103))</f>
        <v>78</v>
      </c>
      <c r="F258" s="3" t="str">
        <f t="shared" si="6"/>
        <v/>
      </c>
    </row>
    <row r="259" spans="1:6">
      <c r="A259" s="6">
        <f>参数说明!$B$8+255</f>
        <v>46452</v>
      </c>
      <c r="B259" s="4">
        <v>255</v>
      </c>
      <c r="C259" s="4">
        <f>IF(B259=0,0,IF(B259&lt;=7,FORECAST(B259,参数说明!$B$24:$B$25,参数说明!$A$24:$A$25),IF(B259&lt;=30,FORECAST(B259,参数说明!$B$25:$B$26,参数说明!$A$25:$A$26),IF(B259&lt;=60,FORECAST(B259,参数说明!$B$26:$B$27,参数说明!$A$26:$A$27),IF(B259&lt;=90,FORECAST(B259,参数说明!$B$27:$B$28,参数说明!$A$27:$A$28),IF(B259&lt;=180,FORECAST(B259,参数说明!$B$28:$B$29,参数说明!$A$28:$A$29),FORECAST(B259,参数说明!$B$29:$B$30,参数说明!$A$29:$A$30)))))))</f>
        <v>88.1081081081081</v>
      </c>
      <c r="D259" s="4">
        <f t="shared" si="7"/>
        <v>17303.1081081081</v>
      </c>
      <c r="E259" s="4">
        <f>IF(D259&lt;'等级-经验对照'!$B$4,0,LOOKUP(D259,'等级-经验对照'!$B$4:$B$103,'等级-经验对照'!$A$4:$A$103))</f>
        <v>78</v>
      </c>
      <c r="F259" s="3" t="str">
        <f t="shared" si="6"/>
        <v/>
      </c>
    </row>
    <row r="260" spans="1:6">
      <c r="A260" s="6">
        <f>参数说明!$B$8+256</f>
        <v>46453</v>
      </c>
      <c r="B260" s="4">
        <v>256</v>
      </c>
      <c r="C260" s="4">
        <f>IF(B260=0,0,IF(B260&lt;=7,FORECAST(B260,参数说明!$B$24:$B$25,参数说明!$A$24:$A$25),IF(B260&lt;=30,FORECAST(B260,参数说明!$B$25:$B$26,参数说明!$A$25:$A$26),IF(B260&lt;=60,FORECAST(B260,参数说明!$B$26:$B$27,参数说明!$A$26:$A$27),IF(B260&lt;=90,FORECAST(B260,参数说明!$B$27:$B$28,参数说明!$A$27:$A$28),IF(B260&lt;=180,FORECAST(B260,参数说明!$B$28:$B$29,参数说明!$A$28:$A$29),FORECAST(B260,参数说明!$B$29:$B$30,参数说明!$A$29:$A$30)))))))</f>
        <v>88.2162162162162</v>
      </c>
      <c r="D260" s="4">
        <f t="shared" si="7"/>
        <v>17391.3243243243</v>
      </c>
      <c r="E260" s="4">
        <f>IF(D260&lt;'等级-经验对照'!$B$4,0,LOOKUP(D260,'等级-经验对照'!$B$4:$B$103,'等级-经验对照'!$A$4:$A$103))</f>
        <v>78</v>
      </c>
      <c r="F260" s="3" t="str">
        <f t="shared" ref="F260:F323" si="8">IF(OR(B260=1,B260=7,B260=30,B260=60,B260=90,B260=180,B260=365),"D"&amp;B260&amp;" / Lv"&amp;E260&amp;" / "&amp;ROUND(D260,0)&amp;" XP","")</f>
        <v/>
      </c>
    </row>
    <row r="261" spans="1:6">
      <c r="A261" s="6">
        <f>参数说明!$B$8+257</f>
        <v>46454</v>
      </c>
      <c r="B261" s="4">
        <v>257</v>
      </c>
      <c r="C261" s="4">
        <f>IF(B261=0,0,IF(B261&lt;=7,FORECAST(B261,参数说明!$B$24:$B$25,参数说明!$A$24:$A$25),IF(B261&lt;=30,FORECAST(B261,参数说明!$B$25:$B$26,参数说明!$A$25:$A$26),IF(B261&lt;=60,FORECAST(B261,参数说明!$B$26:$B$27,参数说明!$A$26:$A$27),IF(B261&lt;=90,FORECAST(B261,参数说明!$B$27:$B$28,参数说明!$A$27:$A$28),IF(B261&lt;=180,FORECAST(B261,参数说明!$B$28:$B$29,参数说明!$A$28:$A$29),FORECAST(B261,参数说明!$B$29:$B$30,参数说明!$A$29:$A$30)))))))</f>
        <v>88.3243243243243</v>
      </c>
      <c r="D261" s="4">
        <f t="shared" ref="D261:D324" si="9">D260+C261</f>
        <v>17479.6486486487</v>
      </c>
      <c r="E261" s="4">
        <f>IF(D261&lt;'等级-经验对照'!$B$4,0,LOOKUP(D261,'等级-经验对照'!$B$4:$B$103,'等级-经验对照'!$A$4:$A$103))</f>
        <v>78</v>
      </c>
      <c r="F261" s="3" t="str">
        <f t="shared" si="8"/>
        <v/>
      </c>
    </row>
    <row r="262" spans="1:6">
      <c r="A262" s="6">
        <f>参数说明!$B$8+258</f>
        <v>46455</v>
      </c>
      <c r="B262" s="4">
        <v>258</v>
      </c>
      <c r="C262" s="4">
        <f>IF(B262=0,0,IF(B262&lt;=7,FORECAST(B262,参数说明!$B$24:$B$25,参数说明!$A$24:$A$25),IF(B262&lt;=30,FORECAST(B262,参数说明!$B$25:$B$26,参数说明!$A$25:$A$26),IF(B262&lt;=60,FORECAST(B262,参数说明!$B$26:$B$27,参数说明!$A$26:$A$27),IF(B262&lt;=90,FORECAST(B262,参数说明!$B$27:$B$28,参数说明!$A$27:$A$28),IF(B262&lt;=180,FORECAST(B262,参数说明!$B$28:$B$29,参数说明!$A$28:$A$29),FORECAST(B262,参数说明!$B$29:$B$30,参数说明!$A$29:$A$30)))))))</f>
        <v>88.4324324324324</v>
      </c>
      <c r="D262" s="4">
        <f t="shared" si="9"/>
        <v>17568.0810810811</v>
      </c>
      <c r="E262" s="4">
        <f>IF(D262&lt;'等级-经验对照'!$B$4,0,LOOKUP(D262,'等级-经验对照'!$B$4:$B$103,'等级-经验对照'!$A$4:$A$103))</f>
        <v>78</v>
      </c>
      <c r="F262" s="3" t="str">
        <f t="shared" si="8"/>
        <v/>
      </c>
    </row>
    <row r="263" spans="1:6">
      <c r="A263" s="6">
        <f>参数说明!$B$8+259</f>
        <v>46456</v>
      </c>
      <c r="B263" s="4">
        <v>259</v>
      </c>
      <c r="C263" s="4">
        <f>IF(B263=0,0,IF(B263&lt;=7,FORECAST(B263,参数说明!$B$24:$B$25,参数说明!$A$24:$A$25),IF(B263&lt;=30,FORECAST(B263,参数说明!$B$25:$B$26,参数说明!$A$25:$A$26),IF(B263&lt;=60,FORECAST(B263,参数说明!$B$26:$B$27,参数说明!$A$26:$A$27),IF(B263&lt;=90,FORECAST(B263,参数说明!$B$27:$B$28,参数说明!$A$27:$A$28),IF(B263&lt;=180,FORECAST(B263,参数说明!$B$28:$B$29,参数说明!$A$28:$A$29),FORECAST(B263,参数说明!$B$29:$B$30,参数说明!$A$29:$A$30)))))))</f>
        <v>88.5405405405405</v>
      </c>
      <c r="D263" s="4">
        <f t="shared" si="9"/>
        <v>17656.6216216216</v>
      </c>
      <c r="E263" s="4">
        <f>IF(D263&lt;'等级-经验对照'!$B$4,0,LOOKUP(D263,'等级-经验对照'!$B$4:$B$103,'等级-经验对照'!$A$4:$A$103))</f>
        <v>79</v>
      </c>
      <c r="F263" s="3" t="str">
        <f t="shared" si="8"/>
        <v/>
      </c>
    </row>
    <row r="264" spans="1:6">
      <c r="A264" s="6">
        <f>参数说明!$B$8+260</f>
        <v>46457</v>
      </c>
      <c r="B264" s="4">
        <v>260</v>
      </c>
      <c r="C264" s="4">
        <f>IF(B264=0,0,IF(B264&lt;=7,FORECAST(B264,参数说明!$B$24:$B$25,参数说明!$A$24:$A$25),IF(B264&lt;=30,FORECAST(B264,参数说明!$B$25:$B$26,参数说明!$A$25:$A$26),IF(B264&lt;=60,FORECAST(B264,参数说明!$B$26:$B$27,参数说明!$A$26:$A$27),IF(B264&lt;=90,FORECAST(B264,参数说明!$B$27:$B$28,参数说明!$A$27:$A$28),IF(B264&lt;=180,FORECAST(B264,参数说明!$B$28:$B$29,参数说明!$A$28:$A$29),FORECAST(B264,参数说明!$B$29:$B$30,参数说明!$A$29:$A$30)))))))</f>
        <v>88.6486486486486</v>
      </c>
      <c r="D264" s="4">
        <f t="shared" si="9"/>
        <v>17745.2702702703</v>
      </c>
      <c r="E264" s="4">
        <f>IF(D264&lt;'等级-经验对照'!$B$4,0,LOOKUP(D264,'等级-经验对照'!$B$4:$B$103,'等级-经验对照'!$A$4:$A$103))</f>
        <v>79</v>
      </c>
      <c r="F264" s="3" t="str">
        <f t="shared" si="8"/>
        <v/>
      </c>
    </row>
    <row r="265" spans="1:6">
      <c r="A265" s="6">
        <f>参数说明!$B$8+261</f>
        <v>46458</v>
      </c>
      <c r="B265" s="4">
        <v>261</v>
      </c>
      <c r="C265" s="4">
        <f>IF(B265=0,0,IF(B265&lt;=7,FORECAST(B265,参数说明!$B$24:$B$25,参数说明!$A$24:$A$25),IF(B265&lt;=30,FORECAST(B265,参数说明!$B$25:$B$26,参数说明!$A$25:$A$26),IF(B265&lt;=60,FORECAST(B265,参数说明!$B$26:$B$27,参数说明!$A$26:$A$27),IF(B265&lt;=90,FORECAST(B265,参数说明!$B$27:$B$28,参数说明!$A$27:$A$28),IF(B265&lt;=180,FORECAST(B265,参数说明!$B$28:$B$29,参数说明!$A$28:$A$29),FORECAST(B265,参数说明!$B$29:$B$30,参数说明!$A$29:$A$30)))))))</f>
        <v>88.7567567567568</v>
      </c>
      <c r="D265" s="4">
        <f t="shared" si="9"/>
        <v>17834.027027027</v>
      </c>
      <c r="E265" s="4">
        <f>IF(D265&lt;'等级-经验对照'!$B$4,0,LOOKUP(D265,'等级-经验对照'!$B$4:$B$103,'等级-经验对照'!$A$4:$A$103))</f>
        <v>79</v>
      </c>
      <c r="F265" s="3" t="str">
        <f t="shared" si="8"/>
        <v/>
      </c>
    </row>
    <row r="266" spans="1:6">
      <c r="A266" s="6">
        <f>参数说明!$B$8+262</f>
        <v>46459</v>
      </c>
      <c r="B266" s="4">
        <v>262</v>
      </c>
      <c r="C266" s="4">
        <f>IF(B266=0,0,IF(B266&lt;=7,FORECAST(B266,参数说明!$B$24:$B$25,参数说明!$A$24:$A$25),IF(B266&lt;=30,FORECAST(B266,参数说明!$B$25:$B$26,参数说明!$A$25:$A$26),IF(B266&lt;=60,FORECAST(B266,参数说明!$B$26:$B$27,参数说明!$A$26:$A$27),IF(B266&lt;=90,FORECAST(B266,参数说明!$B$27:$B$28,参数说明!$A$27:$A$28),IF(B266&lt;=180,FORECAST(B266,参数说明!$B$28:$B$29,参数说明!$A$28:$A$29),FORECAST(B266,参数说明!$B$29:$B$30,参数说明!$A$29:$A$30)))))))</f>
        <v>88.8648648648649</v>
      </c>
      <c r="D266" s="4">
        <f t="shared" si="9"/>
        <v>17922.8918918919</v>
      </c>
      <c r="E266" s="4">
        <f>IF(D266&lt;'等级-经验对照'!$B$4,0,LOOKUP(D266,'等级-经验对照'!$B$4:$B$103,'等级-经验对照'!$A$4:$A$103))</f>
        <v>79</v>
      </c>
      <c r="F266" s="3" t="str">
        <f t="shared" si="8"/>
        <v/>
      </c>
    </row>
    <row r="267" spans="1:6">
      <c r="A267" s="6">
        <f>参数说明!$B$8+263</f>
        <v>46460</v>
      </c>
      <c r="B267" s="4">
        <v>263</v>
      </c>
      <c r="C267" s="4">
        <f>IF(B267=0,0,IF(B267&lt;=7,FORECAST(B267,参数说明!$B$24:$B$25,参数说明!$A$24:$A$25),IF(B267&lt;=30,FORECAST(B267,参数说明!$B$25:$B$26,参数说明!$A$25:$A$26),IF(B267&lt;=60,FORECAST(B267,参数说明!$B$26:$B$27,参数说明!$A$26:$A$27),IF(B267&lt;=90,FORECAST(B267,参数说明!$B$27:$B$28,参数说明!$A$27:$A$28),IF(B267&lt;=180,FORECAST(B267,参数说明!$B$28:$B$29,参数说明!$A$28:$A$29),FORECAST(B267,参数说明!$B$29:$B$30,参数说明!$A$29:$A$30)))))))</f>
        <v>88.972972972973</v>
      </c>
      <c r="D267" s="4">
        <f t="shared" si="9"/>
        <v>18011.8648648649</v>
      </c>
      <c r="E267" s="4">
        <f>IF(D267&lt;'等级-经验对照'!$B$4,0,LOOKUP(D267,'等级-经验对照'!$B$4:$B$103,'等级-经验对照'!$A$4:$A$103))</f>
        <v>79</v>
      </c>
      <c r="F267" s="3" t="str">
        <f t="shared" si="8"/>
        <v/>
      </c>
    </row>
    <row r="268" spans="1:6">
      <c r="A268" s="6">
        <f>参数说明!$B$8+264</f>
        <v>46461</v>
      </c>
      <c r="B268" s="4">
        <v>264</v>
      </c>
      <c r="C268" s="4">
        <f>IF(B268=0,0,IF(B268&lt;=7,FORECAST(B268,参数说明!$B$24:$B$25,参数说明!$A$24:$A$25),IF(B268&lt;=30,FORECAST(B268,参数说明!$B$25:$B$26,参数说明!$A$25:$A$26),IF(B268&lt;=60,FORECAST(B268,参数说明!$B$26:$B$27,参数说明!$A$26:$A$27),IF(B268&lt;=90,FORECAST(B268,参数说明!$B$27:$B$28,参数说明!$A$27:$A$28),IF(B268&lt;=180,FORECAST(B268,参数说明!$B$28:$B$29,参数说明!$A$28:$A$29),FORECAST(B268,参数说明!$B$29:$B$30,参数说明!$A$29:$A$30)))))))</f>
        <v>89.0810810810811</v>
      </c>
      <c r="D268" s="4">
        <f t="shared" si="9"/>
        <v>18100.9459459459</v>
      </c>
      <c r="E268" s="4">
        <f>IF(D268&lt;'等级-经验对照'!$B$4,0,LOOKUP(D268,'等级-经验对照'!$B$4:$B$103,'等级-经验对照'!$A$4:$A$103))</f>
        <v>79</v>
      </c>
      <c r="F268" s="3" t="str">
        <f t="shared" si="8"/>
        <v/>
      </c>
    </row>
    <row r="269" spans="1:6">
      <c r="A269" s="6">
        <f>参数说明!$B$8+265</f>
        <v>46462</v>
      </c>
      <c r="B269" s="4">
        <v>265</v>
      </c>
      <c r="C269" s="4">
        <f>IF(B269=0,0,IF(B269&lt;=7,FORECAST(B269,参数说明!$B$24:$B$25,参数说明!$A$24:$A$25),IF(B269&lt;=30,FORECAST(B269,参数说明!$B$25:$B$26,参数说明!$A$25:$A$26),IF(B269&lt;=60,FORECAST(B269,参数说明!$B$26:$B$27,参数说明!$A$26:$A$27),IF(B269&lt;=90,FORECAST(B269,参数说明!$B$27:$B$28,参数说明!$A$27:$A$28),IF(B269&lt;=180,FORECAST(B269,参数说明!$B$28:$B$29,参数说明!$A$28:$A$29),FORECAST(B269,参数说明!$B$29:$B$30,参数说明!$A$29:$A$30)))))))</f>
        <v>89.1891891891892</v>
      </c>
      <c r="D269" s="4">
        <f t="shared" si="9"/>
        <v>18190.1351351351</v>
      </c>
      <c r="E269" s="4">
        <f>IF(D269&lt;'等级-经验对照'!$B$4,0,LOOKUP(D269,'等级-经验对照'!$B$4:$B$103,'等级-经验对照'!$A$4:$A$103))</f>
        <v>80</v>
      </c>
      <c r="F269" s="3" t="str">
        <f t="shared" si="8"/>
        <v/>
      </c>
    </row>
    <row r="270" spans="1:6">
      <c r="A270" s="6">
        <f>参数说明!$B$8+266</f>
        <v>46463</v>
      </c>
      <c r="B270" s="4">
        <v>266</v>
      </c>
      <c r="C270" s="4">
        <f>IF(B270=0,0,IF(B270&lt;=7,FORECAST(B270,参数说明!$B$24:$B$25,参数说明!$A$24:$A$25),IF(B270&lt;=30,FORECAST(B270,参数说明!$B$25:$B$26,参数说明!$A$25:$A$26),IF(B270&lt;=60,FORECAST(B270,参数说明!$B$26:$B$27,参数说明!$A$26:$A$27),IF(B270&lt;=90,FORECAST(B270,参数说明!$B$27:$B$28,参数说明!$A$27:$A$28),IF(B270&lt;=180,FORECAST(B270,参数说明!$B$28:$B$29,参数说明!$A$28:$A$29),FORECAST(B270,参数说明!$B$29:$B$30,参数说明!$A$29:$A$30)))))))</f>
        <v>89.2972972972973</v>
      </c>
      <c r="D270" s="4">
        <f t="shared" si="9"/>
        <v>18279.4324324324</v>
      </c>
      <c r="E270" s="4">
        <f>IF(D270&lt;'等级-经验对照'!$B$4,0,LOOKUP(D270,'等级-经验对照'!$B$4:$B$103,'等级-经验对照'!$A$4:$A$103))</f>
        <v>80</v>
      </c>
      <c r="F270" s="3" t="str">
        <f t="shared" si="8"/>
        <v/>
      </c>
    </row>
    <row r="271" spans="1:6">
      <c r="A271" s="6">
        <f>参数说明!$B$8+267</f>
        <v>46464</v>
      </c>
      <c r="B271" s="4">
        <v>267</v>
      </c>
      <c r="C271" s="4">
        <f>IF(B271=0,0,IF(B271&lt;=7,FORECAST(B271,参数说明!$B$24:$B$25,参数说明!$A$24:$A$25),IF(B271&lt;=30,FORECAST(B271,参数说明!$B$25:$B$26,参数说明!$A$25:$A$26),IF(B271&lt;=60,FORECAST(B271,参数说明!$B$26:$B$27,参数说明!$A$26:$A$27),IF(B271&lt;=90,FORECAST(B271,参数说明!$B$27:$B$28,参数说明!$A$27:$A$28),IF(B271&lt;=180,FORECAST(B271,参数说明!$B$28:$B$29,参数说明!$A$28:$A$29),FORECAST(B271,参数说明!$B$29:$B$30,参数说明!$A$29:$A$30)))))))</f>
        <v>89.4054054054054</v>
      </c>
      <c r="D271" s="4">
        <f t="shared" si="9"/>
        <v>18368.8378378378</v>
      </c>
      <c r="E271" s="4">
        <f>IF(D271&lt;'等级-经验对照'!$B$4,0,LOOKUP(D271,'等级-经验对照'!$B$4:$B$103,'等级-经验对照'!$A$4:$A$103))</f>
        <v>80</v>
      </c>
      <c r="F271" s="3" t="str">
        <f t="shared" si="8"/>
        <v/>
      </c>
    </row>
    <row r="272" spans="1:6">
      <c r="A272" s="6">
        <f>参数说明!$B$8+268</f>
        <v>46465</v>
      </c>
      <c r="B272" s="4">
        <v>268</v>
      </c>
      <c r="C272" s="4">
        <f>IF(B272=0,0,IF(B272&lt;=7,FORECAST(B272,参数说明!$B$24:$B$25,参数说明!$A$24:$A$25),IF(B272&lt;=30,FORECAST(B272,参数说明!$B$25:$B$26,参数说明!$A$25:$A$26),IF(B272&lt;=60,FORECAST(B272,参数说明!$B$26:$B$27,参数说明!$A$26:$A$27),IF(B272&lt;=90,FORECAST(B272,参数说明!$B$27:$B$28,参数说明!$A$27:$A$28),IF(B272&lt;=180,FORECAST(B272,参数说明!$B$28:$B$29,参数说明!$A$28:$A$29),FORECAST(B272,参数说明!$B$29:$B$30,参数说明!$A$29:$A$30)))))))</f>
        <v>89.5135135135135</v>
      </c>
      <c r="D272" s="4">
        <f t="shared" si="9"/>
        <v>18458.3513513514</v>
      </c>
      <c r="E272" s="4">
        <f>IF(D272&lt;'等级-经验对照'!$B$4,0,LOOKUP(D272,'等级-经验对照'!$B$4:$B$103,'等级-经验对照'!$A$4:$A$103))</f>
        <v>80</v>
      </c>
      <c r="F272" s="3" t="str">
        <f t="shared" si="8"/>
        <v/>
      </c>
    </row>
    <row r="273" spans="1:6">
      <c r="A273" s="6">
        <f>参数说明!$B$8+269</f>
        <v>46466</v>
      </c>
      <c r="B273" s="4">
        <v>269</v>
      </c>
      <c r="C273" s="4">
        <f>IF(B273=0,0,IF(B273&lt;=7,FORECAST(B273,参数说明!$B$24:$B$25,参数说明!$A$24:$A$25),IF(B273&lt;=30,FORECAST(B273,参数说明!$B$25:$B$26,参数说明!$A$25:$A$26),IF(B273&lt;=60,FORECAST(B273,参数说明!$B$26:$B$27,参数说明!$A$26:$A$27),IF(B273&lt;=90,FORECAST(B273,参数说明!$B$27:$B$28,参数说明!$A$27:$A$28),IF(B273&lt;=180,FORECAST(B273,参数说明!$B$28:$B$29,参数说明!$A$28:$A$29),FORECAST(B273,参数说明!$B$29:$B$30,参数说明!$A$29:$A$30)))))))</f>
        <v>89.6216216216216</v>
      </c>
      <c r="D273" s="4">
        <f t="shared" si="9"/>
        <v>18547.972972973</v>
      </c>
      <c r="E273" s="4">
        <f>IF(D273&lt;'等级-经验对照'!$B$4,0,LOOKUP(D273,'等级-经验对照'!$B$4:$B$103,'等级-经验对照'!$A$4:$A$103))</f>
        <v>80</v>
      </c>
      <c r="F273" s="3" t="str">
        <f t="shared" si="8"/>
        <v/>
      </c>
    </row>
    <row r="274" spans="1:6">
      <c r="A274" s="6">
        <f>参数说明!$B$8+270</f>
        <v>46467</v>
      </c>
      <c r="B274" s="4">
        <v>270</v>
      </c>
      <c r="C274" s="4">
        <f>IF(B274=0,0,IF(B274&lt;=7,FORECAST(B274,参数说明!$B$24:$B$25,参数说明!$A$24:$A$25),IF(B274&lt;=30,FORECAST(B274,参数说明!$B$25:$B$26,参数说明!$A$25:$A$26),IF(B274&lt;=60,FORECAST(B274,参数说明!$B$26:$B$27,参数说明!$A$26:$A$27),IF(B274&lt;=90,FORECAST(B274,参数说明!$B$27:$B$28,参数说明!$A$27:$A$28),IF(B274&lt;=180,FORECAST(B274,参数说明!$B$28:$B$29,参数说明!$A$28:$A$29),FORECAST(B274,参数说明!$B$29:$B$30,参数说明!$A$29:$A$30)))))))</f>
        <v>89.7297297297297</v>
      </c>
      <c r="D274" s="4">
        <f t="shared" si="9"/>
        <v>18637.7027027027</v>
      </c>
      <c r="E274" s="4">
        <f>IF(D274&lt;'等级-经验对照'!$B$4,0,LOOKUP(D274,'等级-经验对照'!$B$4:$B$103,'等级-经验对照'!$A$4:$A$103))</f>
        <v>81</v>
      </c>
      <c r="F274" s="3" t="str">
        <f t="shared" si="8"/>
        <v/>
      </c>
    </row>
    <row r="275" spans="1:6">
      <c r="A275" s="6">
        <f>参数说明!$B$8+271</f>
        <v>46468</v>
      </c>
      <c r="B275" s="4">
        <v>271</v>
      </c>
      <c r="C275" s="4">
        <f>IF(B275=0,0,IF(B275&lt;=7,FORECAST(B275,参数说明!$B$24:$B$25,参数说明!$A$24:$A$25),IF(B275&lt;=30,FORECAST(B275,参数说明!$B$25:$B$26,参数说明!$A$25:$A$26),IF(B275&lt;=60,FORECAST(B275,参数说明!$B$26:$B$27,参数说明!$A$26:$A$27),IF(B275&lt;=90,FORECAST(B275,参数说明!$B$27:$B$28,参数说明!$A$27:$A$28),IF(B275&lt;=180,FORECAST(B275,参数说明!$B$28:$B$29,参数说明!$A$28:$A$29),FORECAST(B275,参数说明!$B$29:$B$30,参数说明!$A$29:$A$30)))))))</f>
        <v>89.8378378378378</v>
      </c>
      <c r="D275" s="4">
        <f t="shared" si="9"/>
        <v>18727.5405405405</v>
      </c>
      <c r="E275" s="4">
        <f>IF(D275&lt;'等级-经验对照'!$B$4,0,LOOKUP(D275,'等级-经验对照'!$B$4:$B$103,'等级-经验对照'!$A$4:$A$103))</f>
        <v>81</v>
      </c>
      <c r="F275" s="3" t="str">
        <f t="shared" si="8"/>
        <v/>
      </c>
    </row>
    <row r="276" spans="1:6">
      <c r="A276" s="6">
        <f>参数说明!$B$8+272</f>
        <v>46469</v>
      </c>
      <c r="B276" s="4">
        <v>272</v>
      </c>
      <c r="C276" s="4">
        <f>IF(B276=0,0,IF(B276&lt;=7,FORECAST(B276,参数说明!$B$24:$B$25,参数说明!$A$24:$A$25),IF(B276&lt;=30,FORECAST(B276,参数说明!$B$25:$B$26,参数说明!$A$25:$A$26),IF(B276&lt;=60,FORECAST(B276,参数说明!$B$26:$B$27,参数说明!$A$26:$A$27),IF(B276&lt;=90,FORECAST(B276,参数说明!$B$27:$B$28,参数说明!$A$27:$A$28),IF(B276&lt;=180,FORECAST(B276,参数说明!$B$28:$B$29,参数说明!$A$28:$A$29),FORECAST(B276,参数说明!$B$29:$B$30,参数说明!$A$29:$A$30)))))))</f>
        <v>89.945945945946</v>
      </c>
      <c r="D276" s="4">
        <f t="shared" si="9"/>
        <v>18817.4864864865</v>
      </c>
      <c r="E276" s="4">
        <f>IF(D276&lt;'等级-经验对照'!$B$4,0,LOOKUP(D276,'等级-经验对照'!$B$4:$B$103,'等级-经验对照'!$A$4:$A$103))</f>
        <v>81</v>
      </c>
      <c r="F276" s="3" t="str">
        <f t="shared" si="8"/>
        <v/>
      </c>
    </row>
    <row r="277" spans="1:6">
      <c r="A277" s="6">
        <f>参数说明!$B$8+273</f>
        <v>46470</v>
      </c>
      <c r="B277" s="4">
        <v>273</v>
      </c>
      <c r="C277" s="4">
        <f>IF(B277=0,0,IF(B277&lt;=7,FORECAST(B277,参数说明!$B$24:$B$25,参数说明!$A$24:$A$25),IF(B277&lt;=30,FORECAST(B277,参数说明!$B$25:$B$26,参数说明!$A$25:$A$26),IF(B277&lt;=60,FORECAST(B277,参数说明!$B$26:$B$27,参数说明!$A$26:$A$27),IF(B277&lt;=90,FORECAST(B277,参数说明!$B$27:$B$28,参数说明!$A$27:$A$28),IF(B277&lt;=180,FORECAST(B277,参数说明!$B$28:$B$29,参数说明!$A$28:$A$29),FORECAST(B277,参数说明!$B$29:$B$30,参数说明!$A$29:$A$30)))))))</f>
        <v>90.0540540540541</v>
      </c>
      <c r="D277" s="4">
        <f t="shared" si="9"/>
        <v>18907.5405405405</v>
      </c>
      <c r="E277" s="4">
        <f>IF(D277&lt;'等级-经验对照'!$B$4,0,LOOKUP(D277,'等级-经验对照'!$B$4:$B$103,'等级-经验对照'!$A$4:$A$103))</f>
        <v>81</v>
      </c>
      <c r="F277" s="3" t="str">
        <f t="shared" si="8"/>
        <v/>
      </c>
    </row>
    <row r="278" spans="1:6">
      <c r="A278" s="6">
        <f>参数说明!$B$8+274</f>
        <v>46471</v>
      </c>
      <c r="B278" s="4">
        <v>274</v>
      </c>
      <c r="C278" s="4">
        <f>IF(B278=0,0,IF(B278&lt;=7,FORECAST(B278,参数说明!$B$24:$B$25,参数说明!$A$24:$A$25),IF(B278&lt;=30,FORECAST(B278,参数说明!$B$25:$B$26,参数说明!$A$25:$A$26),IF(B278&lt;=60,FORECAST(B278,参数说明!$B$26:$B$27,参数说明!$A$26:$A$27),IF(B278&lt;=90,FORECAST(B278,参数说明!$B$27:$B$28,参数说明!$A$27:$A$28),IF(B278&lt;=180,FORECAST(B278,参数说明!$B$28:$B$29,参数说明!$A$28:$A$29),FORECAST(B278,参数说明!$B$29:$B$30,参数说明!$A$29:$A$30)))))))</f>
        <v>90.1621621621622</v>
      </c>
      <c r="D278" s="4">
        <f t="shared" si="9"/>
        <v>18997.7027027027</v>
      </c>
      <c r="E278" s="4">
        <f>IF(D278&lt;'等级-经验对照'!$B$4,0,LOOKUP(D278,'等级-经验对照'!$B$4:$B$103,'等级-经验对照'!$A$4:$A$103))</f>
        <v>81</v>
      </c>
      <c r="F278" s="3" t="str">
        <f t="shared" si="8"/>
        <v/>
      </c>
    </row>
    <row r="279" spans="1:6">
      <c r="A279" s="6">
        <f>参数说明!$B$8+275</f>
        <v>46472</v>
      </c>
      <c r="B279" s="4">
        <v>275</v>
      </c>
      <c r="C279" s="4">
        <f>IF(B279=0,0,IF(B279&lt;=7,FORECAST(B279,参数说明!$B$24:$B$25,参数说明!$A$24:$A$25),IF(B279&lt;=30,FORECAST(B279,参数说明!$B$25:$B$26,参数说明!$A$25:$A$26),IF(B279&lt;=60,FORECAST(B279,参数说明!$B$26:$B$27,参数说明!$A$26:$A$27),IF(B279&lt;=90,FORECAST(B279,参数说明!$B$27:$B$28,参数说明!$A$27:$A$28),IF(B279&lt;=180,FORECAST(B279,参数说明!$B$28:$B$29,参数说明!$A$28:$A$29),FORECAST(B279,参数说明!$B$29:$B$30,参数说明!$A$29:$A$30)))))))</f>
        <v>90.2702702702703</v>
      </c>
      <c r="D279" s="4">
        <f t="shared" si="9"/>
        <v>19087.972972973</v>
      </c>
      <c r="E279" s="4">
        <f>IF(D279&lt;'等级-经验对照'!$B$4,0,LOOKUP(D279,'等级-经验对照'!$B$4:$B$103,'等级-经验对照'!$A$4:$A$103))</f>
        <v>82</v>
      </c>
      <c r="F279" s="3" t="str">
        <f t="shared" si="8"/>
        <v/>
      </c>
    </row>
    <row r="280" spans="1:6">
      <c r="A280" s="6">
        <f>参数说明!$B$8+276</f>
        <v>46473</v>
      </c>
      <c r="B280" s="4">
        <v>276</v>
      </c>
      <c r="C280" s="4">
        <f>IF(B280=0,0,IF(B280&lt;=7,FORECAST(B280,参数说明!$B$24:$B$25,参数说明!$A$24:$A$25),IF(B280&lt;=30,FORECAST(B280,参数说明!$B$25:$B$26,参数说明!$A$25:$A$26),IF(B280&lt;=60,FORECAST(B280,参数说明!$B$26:$B$27,参数说明!$A$26:$A$27),IF(B280&lt;=90,FORECAST(B280,参数说明!$B$27:$B$28,参数说明!$A$27:$A$28),IF(B280&lt;=180,FORECAST(B280,参数说明!$B$28:$B$29,参数说明!$A$28:$A$29),FORECAST(B280,参数说明!$B$29:$B$30,参数说明!$A$29:$A$30)))))))</f>
        <v>90.3783783783784</v>
      </c>
      <c r="D280" s="4">
        <f t="shared" si="9"/>
        <v>19178.3513513514</v>
      </c>
      <c r="E280" s="4">
        <f>IF(D280&lt;'等级-经验对照'!$B$4,0,LOOKUP(D280,'等级-经验对照'!$B$4:$B$103,'等级-经验对照'!$A$4:$A$103))</f>
        <v>82</v>
      </c>
      <c r="F280" s="3" t="str">
        <f t="shared" si="8"/>
        <v/>
      </c>
    </row>
    <row r="281" spans="1:6">
      <c r="A281" s="6">
        <f>参数说明!$B$8+277</f>
        <v>46474</v>
      </c>
      <c r="B281" s="4">
        <v>277</v>
      </c>
      <c r="C281" s="4">
        <f>IF(B281=0,0,IF(B281&lt;=7,FORECAST(B281,参数说明!$B$24:$B$25,参数说明!$A$24:$A$25),IF(B281&lt;=30,FORECAST(B281,参数说明!$B$25:$B$26,参数说明!$A$25:$A$26),IF(B281&lt;=60,FORECAST(B281,参数说明!$B$26:$B$27,参数说明!$A$26:$A$27),IF(B281&lt;=90,FORECAST(B281,参数说明!$B$27:$B$28,参数说明!$A$27:$A$28),IF(B281&lt;=180,FORECAST(B281,参数说明!$B$28:$B$29,参数说明!$A$28:$A$29),FORECAST(B281,参数说明!$B$29:$B$30,参数说明!$A$29:$A$30)))))))</f>
        <v>90.4864864864865</v>
      </c>
      <c r="D281" s="4">
        <f t="shared" si="9"/>
        <v>19268.8378378378</v>
      </c>
      <c r="E281" s="4">
        <f>IF(D281&lt;'等级-经验对照'!$B$4,0,LOOKUP(D281,'等级-经验对照'!$B$4:$B$103,'等级-经验对照'!$A$4:$A$103))</f>
        <v>82</v>
      </c>
      <c r="F281" s="3" t="str">
        <f t="shared" si="8"/>
        <v/>
      </c>
    </row>
    <row r="282" spans="1:6">
      <c r="A282" s="6">
        <f>参数说明!$B$8+278</f>
        <v>46475</v>
      </c>
      <c r="B282" s="4">
        <v>278</v>
      </c>
      <c r="C282" s="4">
        <f>IF(B282=0,0,IF(B282&lt;=7,FORECAST(B282,参数说明!$B$24:$B$25,参数说明!$A$24:$A$25),IF(B282&lt;=30,FORECAST(B282,参数说明!$B$25:$B$26,参数说明!$A$25:$A$26),IF(B282&lt;=60,FORECAST(B282,参数说明!$B$26:$B$27,参数说明!$A$26:$A$27),IF(B282&lt;=90,FORECAST(B282,参数说明!$B$27:$B$28,参数说明!$A$27:$A$28),IF(B282&lt;=180,FORECAST(B282,参数说明!$B$28:$B$29,参数说明!$A$28:$A$29),FORECAST(B282,参数说明!$B$29:$B$30,参数说明!$A$29:$A$30)))))))</f>
        <v>90.5945945945946</v>
      </c>
      <c r="D282" s="4">
        <f t="shared" si="9"/>
        <v>19359.4324324324</v>
      </c>
      <c r="E282" s="4">
        <f>IF(D282&lt;'等级-经验对照'!$B$4,0,LOOKUP(D282,'等级-经验对照'!$B$4:$B$103,'等级-经验对照'!$A$4:$A$103))</f>
        <v>82</v>
      </c>
      <c r="F282" s="3" t="str">
        <f t="shared" si="8"/>
        <v/>
      </c>
    </row>
    <row r="283" spans="1:6">
      <c r="A283" s="6">
        <f>参数说明!$B$8+279</f>
        <v>46476</v>
      </c>
      <c r="B283" s="4">
        <v>279</v>
      </c>
      <c r="C283" s="4">
        <f>IF(B283=0,0,IF(B283&lt;=7,FORECAST(B283,参数说明!$B$24:$B$25,参数说明!$A$24:$A$25),IF(B283&lt;=30,FORECAST(B283,参数说明!$B$25:$B$26,参数说明!$A$25:$A$26),IF(B283&lt;=60,FORECAST(B283,参数说明!$B$26:$B$27,参数说明!$A$26:$A$27),IF(B283&lt;=90,FORECAST(B283,参数说明!$B$27:$B$28,参数说明!$A$27:$A$28),IF(B283&lt;=180,FORECAST(B283,参数说明!$B$28:$B$29,参数说明!$A$28:$A$29),FORECAST(B283,参数说明!$B$29:$B$30,参数说明!$A$29:$A$30)))))))</f>
        <v>90.7027027027027</v>
      </c>
      <c r="D283" s="4">
        <f t="shared" si="9"/>
        <v>19450.1351351351</v>
      </c>
      <c r="E283" s="4">
        <f>IF(D283&lt;'等级-经验对照'!$B$4,0,LOOKUP(D283,'等级-经验对照'!$B$4:$B$103,'等级-经验对照'!$A$4:$A$103))</f>
        <v>82</v>
      </c>
      <c r="F283" s="3" t="str">
        <f t="shared" si="8"/>
        <v/>
      </c>
    </row>
    <row r="284" spans="1:6">
      <c r="A284" s="6">
        <f>参数说明!$B$8+280</f>
        <v>46477</v>
      </c>
      <c r="B284" s="4">
        <v>280</v>
      </c>
      <c r="C284" s="4">
        <f>IF(B284=0,0,IF(B284&lt;=7,FORECAST(B284,参数说明!$B$24:$B$25,参数说明!$A$24:$A$25),IF(B284&lt;=30,FORECAST(B284,参数说明!$B$25:$B$26,参数说明!$A$25:$A$26),IF(B284&lt;=60,FORECAST(B284,参数说明!$B$26:$B$27,参数说明!$A$26:$A$27),IF(B284&lt;=90,FORECAST(B284,参数说明!$B$27:$B$28,参数说明!$A$27:$A$28),IF(B284&lt;=180,FORECAST(B284,参数说明!$B$28:$B$29,参数说明!$A$28:$A$29),FORECAST(B284,参数说明!$B$29:$B$30,参数说明!$A$29:$A$30)))))))</f>
        <v>90.8108108108108</v>
      </c>
      <c r="D284" s="4">
        <f t="shared" si="9"/>
        <v>19540.9459459459</v>
      </c>
      <c r="E284" s="4">
        <f>IF(D284&lt;'等级-经验对照'!$B$4,0,LOOKUP(D284,'等级-经验对照'!$B$4:$B$103,'等级-经验对照'!$A$4:$A$103))</f>
        <v>83</v>
      </c>
      <c r="F284" s="3" t="str">
        <f t="shared" si="8"/>
        <v/>
      </c>
    </row>
    <row r="285" spans="1:6">
      <c r="A285" s="6">
        <f>参数说明!$B$8+281</f>
        <v>46478</v>
      </c>
      <c r="B285" s="4">
        <v>281</v>
      </c>
      <c r="C285" s="4">
        <f>IF(B285=0,0,IF(B285&lt;=7,FORECAST(B285,参数说明!$B$24:$B$25,参数说明!$A$24:$A$25),IF(B285&lt;=30,FORECAST(B285,参数说明!$B$25:$B$26,参数说明!$A$25:$A$26),IF(B285&lt;=60,FORECAST(B285,参数说明!$B$26:$B$27,参数说明!$A$26:$A$27),IF(B285&lt;=90,FORECAST(B285,参数说明!$B$27:$B$28,参数说明!$A$27:$A$28),IF(B285&lt;=180,FORECAST(B285,参数说明!$B$28:$B$29,参数说明!$A$28:$A$29),FORECAST(B285,参数说明!$B$29:$B$30,参数说明!$A$29:$A$30)))))))</f>
        <v>90.9189189189189</v>
      </c>
      <c r="D285" s="4">
        <f t="shared" si="9"/>
        <v>19631.8648648649</v>
      </c>
      <c r="E285" s="4">
        <f>IF(D285&lt;'等级-经验对照'!$B$4,0,LOOKUP(D285,'等级-经验对照'!$B$4:$B$103,'等级-经验对照'!$A$4:$A$103))</f>
        <v>83</v>
      </c>
      <c r="F285" s="3" t="str">
        <f t="shared" si="8"/>
        <v/>
      </c>
    </row>
    <row r="286" spans="1:6">
      <c r="A286" s="6">
        <f>参数说明!$B$8+282</f>
        <v>46479</v>
      </c>
      <c r="B286" s="4">
        <v>282</v>
      </c>
      <c r="C286" s="4">
        <f>IF(B286=0,0,IF(B286&lt;=7,FORECAST(B286,参数说明!$B$24:$B$25,参数说明!$A$24:$A$25),IF(B286&lt;=30,FORECAST(B286,参数说明!$B$25:$B$26,参数说明!$A$25:$A$26),IF(B286&lt;=60,FORECAST(B286,参数说明!$B$26:$B$27,参数说明!$A$26:$A$27),IF(B286&lt;=90,FORECAST(B286,参数说明!$B$27:$B$28,参数说明!$A$27:$A$28),IF(B286&lt;=180,FORECAST(B286,参数说明!$B$28:$B$29,参数说明!$A$28:$A$29),FORECAST(B286,参数说明!$B$29:$B$30,参数说明!$A$29:$A$30)))))))</f>
        <v>91.027027027027</v>
      </c>
      <c r="D286" s="4">
        <f t="shared" si="9"/>
        <v>19722.8918918919</v>
      </c>
      <c r="E286" s="4">
        <f>IF(D286&lt;'等级-经验对照'!$B$4,0,LOOKUP(D286,'等级-经验对照'!$B$4:$B$103,'等级-经验对照'!$A$4:$A$103))</f>
        <v>83</v>
      </c>
      <c r="F286" s="3" t="str">
        <f t="shared" si="8"/>
        <v/>
      </c>
    </row>
    <row r="287" spans="1:6">
      <c r="A287" s="6">
        <f>参数说明!$B$8+283</f>
        <v>46480</v>
      </c>
      <c r="B287" s="4">
        <v>283</v>
      </c>
      <c r="C287" s="4">
        <f>IF(B287=0,0,IF(B287&lt;=7,FORECAST(B287,参数说明!$B$24:$B$25,参数说明!$A$24:$A$25),IF(B287&lt;=30,FORECAST(B287,参数说明!$B$25:$B$26,参数说明!$A$25:$A$26),IF(B287&lt;=60,FORECAST(B287,参数说明!$B$26:$B$27,参数说明!$A$26:$A$27),IF(B287&lt;=90,FORECAST(B287,参数说明!$B$27:$B$28,参数说明!$A$27:$A$28),IF(B287&lt;=180,FORECAST(B287,参数说明!$B$28:$B$29,参数说明!$A$28:$A$29),FORECAST(B287,参数说明!$B$29:$B$30,参数说明!$A$29:$A$30)))))))</f>
        <v>91.1351351351351</v>
      </c>
      <c r="D287" s="4">
        <f t="shared" si="9"/>
        <v>19814.027027027</v>
      </c>
      <c r="E287" s="4">
        <f>IF(D287&lt;'等级-经验对照'!$B$4,0,LOOKUP(D287,'等级-经验对照'!$B$4:$B$103,'等级-经验对照'!$A$4:$A$103))</f>
        <v>83</v>
      </c>
      <c r="F287" s="3" t="str">
        <f t="shared" si="8"/>
        <v/>
      </c>
    </row>
    <row r="288" spans="1:6">
      <c r="A288" s="6">
        <f>参数说明!$B$8+284</f>
        <v>46481</v>
      </c>
      <c r="B288" s="4">
        <v>284</v>
      </c>
      <c r="C288" s="4">
        <f>IF(B288=0,0,IF(B288&lt;=7,FORECAST(B288,参数说明!$B$24:$B$25,参数说明!$A$24:$A$25),IF(B288&lt;=30,FORECAST(B288,参数说明!$B$25:$B$26,参数说明!$A$25:$A$26),IF(B288&lt;=60,FORECAST(B288,参数说明!$B$26:$B$27,参数说明!$A$26:$A$27),IF(B288&lt;=90,FORECAST(B288,参数说明!$B$27:$B$28,参数说明!$A$27:$A$28),IF(B288&lt;=180,FORECAST(B288,参数说明!$B$28:$B$29,参数说明!$A$28:$A$29),FORECAST(B288,参数说明!$B$29:$B$30,参数说明!$A$29:$A$30)))))))</f>
        <v>91.2432432432432</v>
      </c>
      <c r="D288" s="4">
        <f t="shared" si="9"/>
        <v>19905.2702702703</v>
      </c>
      <c r="E288" s="4">
        <f>IF(D288&lt;'等级-经验对照'!$B$4,0,LOOKUP(D288,'等级-经验对照'!$B$4:$B$103,'等级-经验对照'!$A$4:$A$103))</f>
        <v>83</v>
      </c>
      <c r="F288" s="3" t="str">
        <f t="shared" si="8"/>
        <v/>
      </c>
    </row>
    <row r="289" spans="1:6">
      <c r="A289" s="6">
        <f>参数说明!$B$8+285</f>
        <v>46482</v>
      </c>
      <c r="B289" s="4">
        <v>285</v>
      </c>
      <c r="C289" s="4">
        <f>IF(B289=0,0,IF(B289&lt;=7,FORECAST(B289,参数说明!$B$24:$B$25,参数说明!$A$24:$A$25),IF(B289&lt;=30,FORECAST(B289,参数说明!$B$25:$B$26,参数说明!$A$25:$A$26),IF(B289&lt;=60,FORECAST(B289,参数说明!$B$26:$B$27,参数说明!$A$26:$A$27),IF(B289&lt;=90,FORECAST(B289,参数说明!$B$27:$B$28,参数说明!$A$27:$A$28),IF(B289&lt;=180,FORECAST(B289,参数说明!$B$28:$B$29,参数说明!$A$28:$A$29),FORECAST(B289,参数说明!$B$29:$B$30,参数说明!$A$29:$A$30)))))))</f>
        <v>91.3513513513514</v>
      </c>
      <c r="D289" s="4">
        <f t="shared" si="9"/>
        <v>19996.6216216216</v>
      </c>
      <c r="E289" s="4">
        <f>IF(D289&lt;'等级-经验对照'!$B$4,0,LOOKUP(D289,'等级-经验对照'!$B$4:$B$103,'等级-经验对照'!$A$4:$A$103))</f>
        <v>83</v>
      </c>
      <c r="F289" s="3" t="str">
        <f t="shared" si="8"/>
        <v/>
      </c>
    </row>
    <row r="290" spans="1:6">
      <c r="A290" s="6">
        <f>参数说明!$B$8+286</f>
        <v>46483</v>
      </c>
      <c r="B290" s="4">
        <v>286</v>
      </c>
      <c r="C290" s="4">
        <f>IF(B290=0,0,IF(B290&lt;=7,FORECAST(B290,参数说明!$B$24:$B$25,参数说明!$A$24:$A$25),IF(B290&lt;=30,FORECAST(B290,参数说明!$B$25:$B$26,参数说明!$A$25:$A$26),IF(B290&lt;=60,FORECAST(B290,参数说明!$B$26:$B$27,参数说明!$A$26:$A$27),IF(B290&lt;=90,FORECAST(B290,参数说明!$B$27:$B$28,参数说明!$A$27:$A$28),IF(B290&lt;=180,FORECAST(B290,参数说明!$B$28:$B$29,参数说明!$A$28:$A$29),FORECAST(B290,参数说明!$B$29:$B$30,参数说明!$A$29:$A$30)))))))</f>
        <v>91.4594594594595</v>
      </c>
      <c r="D290" s="4">
        <f t="shared" si="9"/>
        <v>20088.0810810811</v>
      </c>
      <c r="E290" s="4">
        <f>IF(D290&lt;'等级-经验对照'!$B$4,0,LOOKUP(D290,'等级-经验对照'!$B$4:$B$103,'等级-经验对照'!$A$4:$A$103))</f>
        <v>84</v>
      </c>
      <c r="F290" s="3" t="str">
        <f t="shared" si="8"/>
        <v/>
      </c>
    </row>
    <row r="291" spans="1:6">
      <c r="A291" s="6">
        <f>参数说明!$B$8+287</f>
        <v>46484</v>
      </c>
      <c r="B291" s="4">
        <v>287</v>
      </c>
      <c r="C291" s="4">
        <f>IF(B291=0,0,IF(B291&lt;=7,FORECAST(B291,参数说明!$B$24:$B$25,参数说明!$A$24:$A$25),IF(B291&lt;=30,FORECAST(B291,参数说明!$B$25:$B$26,参数说明!$A$25:$A$26),IF(B291&lt;=60,FORECAST(B291,参数说明!$B$26:$B$27,参数说明!$A$26:$A$27),IF(B291&lt;=90,FORECAST(B291,参数说明!$B$27:$B$28,参数说明!$A$27:$A$28),IF(B291&lt;=180,FORECAST(B291,参数说明!$B$28:$B$29,参数说明!$A$28:$A$29),FORECAST(B291,参数说明!$B$29:$B$30,参数说明!$A$29:$A$30)))))))</f>
        <v>91.5675675675676</v>
      </c>
      <c r="D291" s="4">
        <f t="shared" si="9"/>
        <v>20179.6486486487</v>
      </c>
      <c r="E291" s="4">
        <f>IF(D291&lt;'等级-经验对照'!$B$4,0,LOOKUP(D291,'等级-经验对照'!$B$4:$B$103,'等级-经验对照'!$A$4:$A$103))</f>
        <v>84</v>
      </c>
      <c r="F291" s="3" t="str">
        <f t="shared" si="8"/>
        <v/>
      </c>
    </row>
    <row r="292" spans="1:6">
      <c r="A292" s="6">
        <f>参数说明!$B$8+288</f>
        <v>46485</v>
      </c>
      <c r="B292" s="4">
        <v>288</v>
      </c>
      <c r="C292" s="4">
        <f>IF(B292=0,0,IF(B292&lt;=7,FORECAST(B292,参数说明!$B$24:$B$25,参数说明!$A$24:$A$25),IF(B292&lt;=30,FORECAST(B292,参数说明!$B$25:$B$26,参数说明!$A$25:$A$26),IF(B292&lt;=60,FORECAST(B292,参数说明!$B$26:$B$27,参数说明!$A$26:$A$27),IF(B292&lt;=90,FORECAST(B292,参数说明!$B$27:$B$28,参数说明!$A$27:$A$28),IF(B292&lt;=180,FORECAST(B292,参数说明!$B$28:$B$29,参数说明!$A$28:$A$29),FORECAST(B292,参数说明!$B$29:$B$30,参数说明!$A$29:$A$30)))))))</f>
        <v>91.6756756756757</v>
      </c>
      <c r="D292" s="4">
        <f t="shared" si="9"/>
        <v>20271.3243243243</v>
      </c>
      <c r="E292" s="4">
        <f>IF(D292&lt;'等级-经验对照'!$B$4,0,LOOKUP(D292,'等级-经验对照'!$B$4:$B$103,'等级-经验对照'!$A$4:$A$103))</f>
        <v>84</v>
      </c>
      <c r="F292" s="3" t="str">
        <f t="shared" si="8"/>
        <v/>
      </c>
    </row>
    <row r="293" spans="1:6">
      <c r="A293" s="6">
        <f>参数说明!$B$8+289</f>
        <v>46486</v>
      </c>
      <c r="B293" s="4">
        <v>289</v>
      </c>
      <c r="C293" s="4">
        <f>IF(B293=0,0,IF(B293&lt;=7,FORECAST(B293,参数说明!$B$24:$B$25,参数说明!$A$24:$A$25),IF(B293&lt;=30,FORECAST(B293,参数说明!$B$25:$B$26,参数说明!$A$25:$A$26),IF(B293&lt;=60,FORECAST(B293,参数说明!$B$26:$B$27,参数说明!$A$26:$A$27),IF(B293&lt;=90,FORECAST(B293,参数说明!$B$27:$B$28,参数说明!$A$27:$A$28),IF(B293&lt;=180,FORECAST(B293,参数说明!$B$28:$B$29,参数说明!$A$28:$A$29),FORECAST(B293,参数说明!$B$29:$B$30,参数说明!$A$29:$A$30)))))))</f>
        <v>91.7837837837838</v>
      </c>
      <c r="D293" s="4">
        <f t="shared" si="9"/>
        <v>20363.1081081081</v>
      </c>
      <c r="E293" s="4">
        <f>IF(D293&lt;'等级-经验对照'!$B$4,0,LOOKUP(D293,'等级-经验对照'!$B$4:$B$103,'等级-经验对照'!$A$4:$A$103))</f>
        <v>84</v>
      </c>
      <c r="F293" s="3" t="str">
        <f t="shared" si="8"/>
        <v/>
      </c>
    </row>
    <row r="294" spans="1:6">
      <c r="A294" s="6">
        <f>参数说明!$B$8+290</f>
        <v>46487</v>
      </c>
      <c r="B294" s="4">
        <v>290</v>
      </c>
      <c r="C294" s="4">
        <f>IF(B294=0,0,IF(B294&lt;=7,FORECAST(B294,参数说明!$B$24:$B$25,参数说明!$A$24:$A$25),IF(B294&lt;=30,FORECAST(B294,参数说明!$B$25:$B$26,参数说明!$A$25:$A$26),IF(B294&lt;=60,FORECAST(B294,参数说明!$B$26:$B$27,参数说明!$A$26:$A$27),IF(B294&lt;=90,FORECAST(B294,参数说明!$B$27:$B$28,参数说明!$A$27:$A$28),IF(B294&lt;=180,FORECAST(B294,参数说明!$B$28:$B$29,参数说明!$A$28:$A$29),FORECAST(B294,参数说明!$B$29:$B$30,参数说明!$A$29:$A$30)))))))</f>
        <v>91.8918918918919</v>
      </c>
      <c r="D294" s="4">
        <f t="shared" si="9"/>
        <v>20455</v>
      </c>
      <c r="E294" s="4">
        <f>IF(D294&lt;'等级-经验对照'!$B$4,0,LOOKUP(D294,'等级-经验对照'!$B$4:$B$103,'等级-经验对照'!$A$4:$A$103))</f>
        <v>84</v>
      </c>
      <c r="F294" s="3" t="str">
        <f t="shared" si="8"/>
        <v/>
      </c>
    </row>
    <row r="295" spans="1:6">
      <c r="A295" s="6">
        <f>参数说明!$B$8+291</f>
        <v>46488</v>
      </c>
      <c r="B295" s="4">
        <v>291</v>
      </c>
      <c r="C295" s="4">
        <f>IF(B295=0,0,IF(B295&lt;=7,FORECAST(B295,参数说明!$B$24:$B$25,参数说明!$A$24:$A$25),IF(B295&lt;=30,FORECAST(B295,参数说明!$B$25:$B$26,参数说明!$A$25:$A$26),IF(B295&lt;=60,FORECAST(B295,参数说明!$B$26:$B$27,参数说明!$A$26:$A$27),IF(B295&lt;=90,FORECAST(B295,参数说明!$B$27:$B$28,参数说明!$A$27:$A$28),IF(B295&lt;=180,FORECAST(B295,参数说明!$B$28:$B$29,参数说明!$A$28:$A$29),FORECAST(B295,参数说明!$B$29:$B$30,参数说明!$A$29:$A$30)))))))</f>
        <v>92</v>
      </c>
      <c r="D295" s="4">
        <f t="shared" si="9"/>
        <v>20547</v>
      </c>
      <c r="E295" s="4">
        <f>IF(D295&lt;'等级-经验对照'!$B$4,0,LOOKUP(D295,'等级-经验对照'!$B$4:$B$103,'等级-经验对照'!$A$4:$A$103))</f>
        <v>85</v>
      </c>
      <c r="F295" s="3" t="str">
        <f t="shared" si="8"/>
        <v/>
      </c>
    </row>
    <row r="296" spans="1:6">
      <c r="A296" s="6">
        <f>参数说明!$B$8+292</f>
        <v>46489</v>
      </c>
      <c r="B296" s="4">
        <v>292</v>
      </c>
      <c r="C296" s="4">
        <f>IF(B296=0,0,IF(B296&lt;=7,FORECAST(B296,参数说明!$B$24:$B$25,参数说明!$A$24:$A$25),IF(B296&lt;=30,FORECAST(B296,参数说明!$B$25:$B$26,参数说明!$A$25:$A$26),IF(B296&lt;=60,FORECAST(B296,参数说明!$B$26:$B$27,参数说明!$A$26:$A$27),IF(B296&lt;=90,FORECAST(B296,参数说明!$B$27:$B$28,参数说明!$A$27:$A$28),IF(B296&lt;=180,FORECAST(B296,参数说明!$B$28:$B$29,参数说明!$A$28:$A$29),FORECAST(B296,参数说明!$B$29:$B$30,参数说明!$A$29:$A$30)))))))</f>
        <v>92.1081081081081</v>
      </c>
      <c r="D296" s="4">
        <f t="shared" si="9"/>
        <v>20639.1081081081</v>
      </c>
      <c r="E296" s="4">
        <f>IF(D296&lt;'等级-经验对照'!$B$4,0,LOOKUP(D296,'等级-经验对照'!$B$4:$B$103,'等级-经验对照'!$A$4:$A$103))</f>
        <v>85</v>
      </c>
      <c r="F296" s="3" t="str">
        <f t="shared" si="8"/>
        <v/>
      </c>
    </row>
    <row r="297" spans="1:6">
      <c r="A297" s="6">
        <f>参数说明!$B$8+293</f>
        <v>46490</v>
      </c>
      <c r="B297" s="4">
        <v>293</v>
      </c>
      <c r="C297" s="4">
        <f>IF(B297=0,0,IF(B297&lt;=7,FORECAST(B297,参数说明!$B$24:$B$25,参数说明!$A$24:$A$25),IF(B297&lt;=30,FORECAST(B297,参数说明!$B$25:$B$26,参数说明!$A$25:$A$26),IF(B297&lt;=60,FORECAST(B297,参数说明!$B$26:$B$27,参数说明!$A$26:$A$27),IF(B297&lt;=90,FORECAST(B297,参数说明!$B$27:$B$28,参数说明!$A$27:$A$28),IF(B297&lt;=180,FORECAST(B297,参数说明!$B$28:$B$29,参数说明!$A$28:$A$29),FORECAST(B297,参数说明!$B$29:$B$30,参数说明!$A$29:$A$30)))))))</f>
        <v>92.2162162162162</v>
      </c>
      <c r="D297" s="4">
        <f t="shared" si="9"/>
        <v>20731.3243243243</v>
      </c>
      <c r="E297" s="4">
        <f>IF(D297&lt;'等级-经验对照'!$B$4,0,LOOKUP(D297,'等级-经验对照'!$B$4:$B$103,'等级-经验对照'!$A$4:$A$103))</f>
        <v>85</v>
      </c>
      <c r="F297" s="3" t="str">
        <f t="shared" si="8"/>
        <v/>
      </c>
    </row>
    <row r="298" spans="1:6">
      <c r="A298" s="6">
        <f>参数说明!$B$8+294</f>
        <v>46491</v>
      </c>
      <c r="B298" s="4">
        <v>294</v>
      </c>
      <c r="C298" s="4">
        <f>IF(B298=0,0,IF(B298&lt;=7,FORECAST(B298,参数说明!$B$24:$B$25,参数说明!$A$24:$A$25),IF(B298&lt;=30,FORECAST(B298,参数说明!$B$25:$B$26,参数说明!$A$25:$A$26),IF(B298&lt;=60,FORECAST(B298,参数说明!$B$26:$B$27,参数说明!$A$26:$A$27),IF(B298&lt;=90,FORECAST(B298,参数说明!$B$27:$B$28,参数说明!$A$27:$A$28),IF(B298&lt;=180,FORECAST(B298,参数说明!$B$28:$B$29,参数说明!$A$28:$A$29),FORECAST(B298,参数说明!$B$29:$B$30,参数说明!$A$29:$A$30)))))))</f>
        <v>92.3243243243243</v>
      </c>
      <c r="D298" s="4">
        <f t="shared" si="9"/>
        <v>20823.6486486487</v>
      </c>
      <c r="E298" s="4">
        <f>IF(D298&lt;'等级-经验对照'!$B$4,0,LOOKUP(D298,'等级-经验对照'!$B$4:$B$103,'等级-经验对照'!$A$4:$A$103))</f>
        <v>85</v>
      </c>
      <c r="F298" s="3" t="str">
        <f t="shared" si="8"/>
        <v/>
      </c>
    </row>
    <row r="299" spans="1:6">
      <c r="A299" s="6">
        <f>参数说明!$B$8+295</f>
        <v>46492</v>
      </c>
      <c r="B299" s="4">
        <v>295</v>
      </c>
      <c r="C299" s="4">
        <f>IF(B299=0,0,IF(B299&lt;=7,FORECAST(B299,参数说明!$B$24:$B$25,参数说明!$A$24:$A$25),IF(B299&lt;=30,FORECAST(B299,参数说明!$B$25:$B$26,参数说明!$A$25:$A$26),IF(B299&lt;=60,FORECAST(B299,参数说明!$B$26:$B$27,参数说明!$A$26:$A$27),IF(B299&lt;=90,FORECAST(B299,参数说明!$B$27:$B$28,参数说明!$A$27:$A$28),IF(B299&lt;=180,FORECAST(B299,参数说明!$B$28:$B$29,参数说明!$A$28:$A$29),FORECAST(B299,参数说明!$B$29:$B$30,参数说明!$A$29:$A$30)))))))</f>
        <v>92.4324324324324</v>
      </c>
      <c r="D299" s="4">
        <f t="shared" si="9"/>
        <v>20916.0810810811</v>
      </c>
      <c r="E299" s="4">
        <f>IF(D299&lt;'等级-经验对照'!$B$4,0,LOOKUP(D299,'等级-经验对照'!$B$4:$B$103,'等级-经验对照'!$A$4:$A$103))</f>
        <v>85</v>
      </c>
      <c r="F299" s="3" t="str">
        <f t="shared" si="8"/>
        <v/>
      </c>
    </row>
    <row r="300" spans="1:6">
      <c r="A300" s="6">
        <f>参数说明!$B$8+296</f>
        <v>46493</v>
      </c>
      <c r="B300" s="4">
        <v>296</v>
      </c>
      <c r="C300" s="4">
        <f>IF(B300=0,0,IF(B300&lt;=7,FORECAST(B300,参数说明!$B$24:$B$25,参数说明!$A$24:$A$25),IF(B300&lt;=30,FORECAST(B300,参数说明!$B$25:$B$26,参数说明!$A$25:$A$26),IF(B300&lt;=60,FORECAST(B300,参数说明!$B$26:$B$27,参数说明!$A$26:$A$27),IF(B300&lt;=90,FORECAST(B300,参数说明!$B$27:$B$28,参数说明!$A$27:$A$28),IF(B300&lt;=180,FORECAST(B300,参数说明!$B$28:$B$29,参数说明!$A$28:$A$29),FORECAST(B300,参数说明!$B$29:$B$30,参数说明!$A$29:$A$30)))))))</f>
        <v>92.5405405405405</v>
      </c>
      <c r="D300" s="4">
        <f t="shared" si="9"/>
        <v>21008.6216216216</v>
      </c>
      <c r="E300" s="4">
        <f>IF(D300&lt;'等级-经验对照'!$B$4,0,LOOKUP(D300,'等级-经验对照'!$B$4:$B$103,'等级-经验对照'!$A$4:$A$103))</f>
        <v>86</v>
      </c>
      <c r="F300" s="3" t="str">
        <f t="shared" si="8"/>
        <v/>
      </c>
    </row>
    <row r="301" spans="1:6">
      <c r="A301" s="6">
        <f>参数说明!$B$8+297</f>
        <v>46494</v>
      </c>
      <c r="B301" s="4">
        <v>297</v>
      </c>
      <c r="C301" s="4">
        <f>IF(B301=0,0,IF(B301&lt;=7,FORECAST(B301,参数说明!$B$24:$B$25,参数说明!$A$24:$A$25),IF(B301&lt;=30,FORECAST(B301,参数说明!$B$25:$B$26,参数说明!$A$25:$A$26),IF(B301&lt;=60,FORECAST(B301,参数说明!$B$26:$B$27,参数说明!$A$26:$A$27),IF(B301&lt;=90,FORECAST(B301,参数说明!$B$27:$B$28,参数说明!$A$27:$A$28),IF(B301&lt;=180,FORECAST(B301,参数说明!$B$28:$B$29,参数说明!$A$28:$A$29),FORECAST(B301,参数说明!$B$29:$B$30,参数说明!$A$29:$A$30)))))))</f>
        <v>92.6486486486486</v>
      </c>
      <c r="D301" s="4">
        <f t="shared" si="9"/>
        <v>21101.2702702703</v>
      </c>
      <c r="E301" s="4">
        <f>IF(D301&lt;'等级-经验对照'!$B$4,0,LOOKUP(D301,'等级-经验对照'!$B$4:$B$103,'等级-经验对照'!$A$4:$A$103))</f>
        <v>86</v>
      </c>
      <c r="F301" s="3" t="str">
        <f t="shared" si="8"/>
        <v/>
      </c>
    </row>
    <row r="302" spans="1:6">
      <c r="A302" s="6">
        <f>参数说明!$B$8+298</f>
        <v>46495</v>
      </c>
      <c r="B302" s="4">
        <v>298</v>
      </c>
      <c r="C302" s="4">
        <f>IF(B302=0,0,IF(B302&lt;=7,FORECAST(B302,参数说明!$B$24:$B$25,参数说明!$A$24:$A$25),IF(B302&lt;=30,FORECAST(B302,参数说明!$B$25:$B$26,参数说明!$A$25:$A$26),IF(B302&lt;=60,FORECAST(B302,参数说明!$B$26:$B$27,参数说明!$A$26:$A$27),IF(B302&lt;=90,FORECAST(B302,参数说明!$B$27:$B$28,参数说明!$A$27:$A$28),IF(B302&lt;=180,FORECAST(B302,参数说明!$B$28:$B$29,参数说明!$A$28:$A$29),FORECAST(B302,参数说明!$B$29:$B$30,参数说明!$A$29:$A$30)))))))</f>
        <v>92.7567567567568</v>
      </c>
      <c r="D302" s="4">
        <f t="shared" si="9"/>
        <v>21194.027027027</v>
      </c>
      <c r="E302" s="4">
        <f>IF(D302&lt;'等级-经验对照'!$B$4,0,LOOKUP(D302,'等级-经验对照'!$B$4:$B$103,'等级-经验对照'!$A$4:$A$103))</f>
        <v>86</v>
      </c>
      <c r="F302" s="3" t="str">
        <f t="shared" si="8"/>
        <v/>
      </c>
    </row>
    <row r="303" spans="1:6">
      <c r="A303" s="6">
        <f>参数说明!$B$8+299</f>
        <v>46496</v>
      </c>
      <c r="B303" s="4">
        <v>299</v>
      </c>
      <c r="C303" s="4">
        <f>IF(B303=0,0,IF(B303&lt;=7,FORECAST(B303,参数说明!$B$24:$B$25,参数说明!$A$24:$A$25),IF(B303&lt;=30,FORECAST(B303,参数说明!$B$25:$B$26,参数说明!$A$25:$A$26),IF(B303&lt;=60,FORECAST(B303,参数说明!$B$26:$B$27,参数说明!$A$26:$A$27),IF(B303&lt;=90,FORECAST(B303,参数说明!$B$27:$B$28,参数说明!$A$27:$A$28),IF(B303&lt;=180,FORECAST(B303,参数说明!$B$28:$B$29,参数说明!$A$28:$A$29),FORECAST(B303,参数说明!$B$29:$B$30,参数说明!$A$29:$A$30)))))))</f>
        <v>92.8648648648649</v>
      </c>
      <c r="D303" s="4">
        <f t="shared" si="9"/>
        <v>21286.8918918919</v>
      </c>
      <c r="E303" s="4">
        <f>IF(D303&lt;'等级-经验对照'!$B$4,0,LOOKUP(D303,'等级-经验对照'!$B$4:$B$103,'等级-经验对照'!$A$4:$A$103))</f>
        <v>86</v>
      </c>
      <c r="F303" s="3" t="str">
        <f t="shared" si="8"/>
        <v/>
      </c>
    </row>
    <row r="304" spans="1:6">
      <c r="A304" s="6">
        <f>参数说明!$B$8+300</f>
        <v>46497</v>
      </c>
      <c r="B304" s="4">
        <v>300</v>
      </c>
      <c r="C304" s="4">
        <f>IF(B304=0,0,IF(B304&lt;=7,FORECAST(B304,参数说明!$B$24:$B$25,参数说明!$A$24:$A$25),IF(B304&lt;=30,FORECAST(B304,参数说明!$B$25:$B$26,参数说明!$A$25:$A$26),IF(B304&lt;=60,FORECAST(B304,参数说明!$B$26:$B$27,参数说明!$A$26:$A$27),IF(B304&lt;=90,FORECAST(B304,参数说明!$B$27:$B$28,参数说明!$A$27:$A$28),IF(B304&lt;=180,FORECAST(B304,参数说明!$B$28:$B$29,参数说明!$A$28:$A$29),FORECAST(B304,参数说明!$B$29:$B$30,参数说明!$A$29:$A$30)))))))</f>
        <v>92.972972972973</v>
      </c>
      <c r="D304" s="4">
        <f t="shared" si="9"/>
        <v>21379.8648648649</v>
      </c>
      <c r="E304" s="4">
        <f>IF(D304&lt;'等级-经验对照'!$B$4,0,LOOKUP(D304,'等级-经验对照'!$B$4:$B$103,'等级-经验对照'!$A$4:$A$103))</f>
        <v>86</v>
      </c>
      <c r="F304" s="3" t="str">
        <f t="shared" si="8"/>
        <v/>
      </c>
    </row>
    <row r="305" spans="1:6">
      <c r="A305" s="6">
        <f>参数说明!$B$8+301</f>
        <v>46498</v>
      </c>
      <c r="B305" s="4">
        <v>301</v>
      </c>
      <c r="C305" s="4">
        <f>IF(B305=0,0,IF(B305&lt;=7,FORECAST(B305,参数说明!$B$24:$B$25,参数说明!$A$24:$A$25),IF(B305&lt;=30,FORECAST(B305,参数说明!$B$25:$B$26,参数说明!$A$25:$A$26),IF(B305&lt;=60,FORECAST(B305,参数说明!$B$26:$B$27,参数说明!$A$26:$A$27),IF(B305&lt;=90,FORECAST(B305,参数说明!$B$27:$B$28,参数说明!$A$27:$A$28),IF(B305&lt;=180,FORECAST(B305,参数说明!$B$28:$B$29,参数说明!$A$28:$A$29),FORECAST(B305,参数说明!$B$29:$B$30,参数说明!$A$29:$A$30)))))))</f>
        <v>93.0810810810811</v>
      </c>
      <c r="D305" s="4">
        <f t="shared" si="9"/>
        <v>21472.9459459459</v>
      </c>
      <c r="E305" s="4">
        <f>IF(D305&lt;'等级-经验对照'!$B$4,0,LOOKUP(D305,'等级-经验对照'!$B$4:$B$103,'等级-经验对照'!$A$4:$A$103))</f>
        <v>87</v>
      </c>
      <c r="F305" s="3" t="str">
        <f t="shared" si="8"/>
        <v/>
      </c>
    </row>
    <row r="306" spans="1:6">
      <c r="A306" s="6">
        <f>参数说明!$B$8+302</f>
        <v>46499</v>
      </c>
      <c r="B306" s="4">
        <v>302</v>
      </c>
      <c r="C306" s="4">
        <f>IF(B306=0,0,IF(B306&lt;=7,FORECAST(B306,参数说明!$B$24:$B$25,参数说明!$A$24:$A$25),IF(B306&lt;=30,FORECAST(B306,参数说明!$B$25:$B$26,参数说明!$A$25:$A$26),IF(B306&lt;=60,FORECAST(B306,参数说明!$B$26:$B$27,参数说明!$A$26:$A$27),IF(B306&lt;=90,FORECAST(B306,参数说明!$B$27:$B$28,参数说明!$A$27:$A$28),IF(B306&lt;=180,FORECAST(B306,参数说明!$B$28:$B$29,参数说明!$A$28:$A$29),FORECAST(B306,参数说明!$B$29:$B$30,参数说明!$A$29:$A$30)))))))</f>
        <v>93.1891891891892</v>
      </c>
      <c r="D306" s="4">
        <f t="shared" si="9"/>
        <v>21566.1351351351</v>
      </c>
      <c r="E306" s="4">
        <f>IF(D306&lt;'等级-经验对照'!$B$4,0,LOOKUP(D306,'等级-经验对照'!$B$4:$B$103,'等级-经验对照'!$A$4:$A$103))</f>
        <v>87</v>
      </c>
      <c r="F306" s="3" t="str">
        <f t="shared" si="8"/>
        <v/>
      </c>
    </row>
    <row r="307" spans="1:6">
      <c r="A307" s="6">
        <f>参数说明!$B$8+303</f>
        <v>46500</v>
      </c>
      <c r="B307" s="4">
        <v>303</v>
      </c>
      <c r="C307" s="4">
        <f>IF(B307=0,0,IF(B307&lt;=7,FORECAST(B307,参数说明!$B$24:$B$25,参数说明!$A$24:$A$25),IF(B307&lt;=30,FORECAST(B307,参数说明!$B$25:$B$26,参数说明!$A$25:$A$26),IF(B307&lt;=60,FORECAST(B307,参数说明!$B$26:$B$27,参数说明!$A$26:$A$27),IF(B307&lt;=90,FORECAST(B307,参数说明!$B$27:$B$28,参数说明!$A$27:$A$28),IF(B307&lt;=180,FORECAST(B307,参数说明!$B$28:$B$29,参数说明!$A$28:$A$29),FORECAST(B307,参数说明!$B$29:$B$30,参数说明!$A$29:$A$30)))))))</f>
        <v>93.2972972972973</v>
      </c>
      <c r="D307" s="4">
        <f t="shared" si="9"/>
        <v>21659.4324324324</v>
      </c>
      <c r="E307" s="4">
        <f>IF(D307&lt;'等级-经验对照'!$B$4,0,LOOKUP(D307,'等级-经验对照'!$B$4:$B$103,'等级-经验对照'!$A$4:$A$103))</f>
        <v>87</v>
      </c>
      <c r="F307" s="3" t="str">
        <f t="shared" si="8"/>
        <v/>
      </c>
    </row>
    <row r="308" spans="1:6">
      <c r="A308" s="6">
        <f>参数说明!$B$8+304</f>
        <v>46501</v>
      </c>
      <c r="B308" s="4">
        <v>304</v>
      </c>
      <c r="C308" s="4">
        <f>IF(B308=0,0,IF(B308&lt;=7,FORECAST(B308,参数说明!$B$24:$B$25,参数说明!$A$24:$A$25),IF(B308&lt;=30,FORECAST(B308,参数说明!$B$25:$B$26,参数说明!$A$25:$A$26),IF(B308&lt;=60,FORECAST(B308,参数说明!$B$26:$B$27,参数说明!$A$26:$A$27),IF(B308&lt;=90,FORECAST(B308,参数说明!$B$27:$B$28,参数说明!$A$27:$A$28),IF(B308&lt;=180,FORECAST(B308,参数说明!$B$28:$B$29,参数说明!$A$28:$A$29),FORECAST(B308,参数说明!$B$29:$B$30,参数说明!$A$29:$A$30)))))))</f>
        <v>93.4054054054054</v>
      </c>
      <c r="D308" s="4">
        <f t="shared" si="9"/>
        <v>21752.8378378378</v>
      </c>
      <c r="E308" s="4">
        <f>IF(D308&lt;'等级-经验对照'!$B$4,0,LOOKUP(D308,'等级-经验对照'!$B$4:$B$103,'等级-经验对照'!$A$4:$A$103))</f>
        <v>87</v>
      </c>
      <c r="F308" s="3" t="str">
        <f t="shared" si="8"/>
        <v/>
      </c>
    </row>
    <row r="309" spans="1:6">
      <c r="A309" s="6">
        <f>参数说明!$B$8+305</f>
        <v>46502</v>
      </c>
      <c r="B309" s="4">
        <v>305</v>
      </c>
      <c r="C309" s="4">
        <f>IF(B309=0,0,IF(B309&lt;=7,FORECAST(B309,参数说明!$B$24:$B$25,参数说明!$A$24:$A$25),IF(B309&lt;=30,FORECAST(B309,参数说明!$B$25:$B$26,参数说明!$A$25:$A$26),IF(B309&lt;=60,FORECAST(B309,参数说明!$B$26:$B$27,参数说明!$A$26:$A$27),IF(B309&lt;=90,FORECAST(B309,参数说明!$B$27:$B$28,参数说明!$A$27:$A$28),IF(B309&lt;=180,FORECAST(B309,参数说明!$B$28:$B$29,参数说明!$A$28:$A$29),FORECAST(B309,参数说明!$B$29:$B$30,参数说明!$A$29:$A$30)))))))</f>
        <v>93.5135135135135</v>
      </c>
      <c r="D309" s="4">
        <f t="shared" si="9"/>
        <v>21846.3513513514</v>
      </c>
      <c r="E309" s="4">
        <f>IF(D309&lt;'等级-经验对照'!$B$4,0,LOOKUP(D309,'等级-经验对照'!$B$4:$B$103,'等级-经验对照'!$A$4:$A$103))</f>
        <v>87</v>
      </c>
      <c r="F309" s="3" t="str">
        <f t="shared" si="8"/>
        <v/>
      </c>
    </row>
    <row r="310" spans="1:6">
      <c r="A310" s="6">
        <f>参数说明!$B$8+306</f>
        <v>46503</v>
      </c>
      <c r="B310" s="4">
        <v>306</v>
      </c>
      <c r="C310" s="4">
        <f>IF(B310=0,0,IF(B310&lt;=7,FORECAST(B310,参数说明!$B$24:$B$25,参数说明!$A$24:$A$25),IF(B310&lt;=30,FORECAST(B310,参数说明!$B$25:$B$26,参数说明!$A$25:$A$26),IF(B310&lt;=60,FORECAST(B310,参数说明!$B$26:$B$27,参数说明!$A$26:$A$27),IF(B310&lt;=90,FORECAST(B310,参数说明!$B$27:$B$28,参数说明!$A$27:$A$28),IF(B310&lt;=180,FORECAST(B310,参数说明!$B$28:$B$29,参数说明!$A$28:$A$29),FORECAST(B310,参数说明!$B$29:$B$30,参数说明!$A$29:$A$30)))))))</f>
        <v>93.6216216216216</v>
      </c>
      <c r="D310" s="4">
        <f t="shared" si="9"/>
        <v>21939.972972973</v>
      </c>
      <c r="E310" s="4">
        <f>IF(D310&lt;'等级-经验对照'!$B$4,0,LOOKUP(D310,'等级-经验对照'!$B$4:$B$103,'等级-经验对照'!$A$4:$A$103))</f>
        <v>88</v>
      </c>
      <c r="F310" s="3" t="str">
        <f t="shared" si="8"/>
        <v/>
      </c>
    </row>
    <row r="311" spans="1:6">
      <c r="A311" s="6">
        <f>参数说明!$B$8+307</f>
        <v>46504</v>
      </c>
      <c r="B311" s="4">
        <v>307</v>
      </c>
      <c r="C311" s="4">
        <f>IF(B311=0,0,IF(B311&lt;=7,FORECAST(B311,参数说明!$B$24:$B$25,参数说明!$A$24:$A$25),IF(B311&lt;=30,FORECAST(B311,参数说明!$B$25:$B$26,参数说明!$A$25:$A$26),IF(B311&lt;=60,FORECAST(B311,参数说明!$B$26:$B$27,参数说明!$A$26:$A$27),IF(B311&lt;=90,FORECAST(B311,参数说明!$B$27:$B$28,参数说明!$A$27:$A$28),IF(B311&lt;=180,FORECAST(B311,参数说明!$B$28:$B$29,参数说明!$A$28:$A$29),FORECAST(B311,参数说明!$B$29:$B$30,参数说明!$A$29:$A$30)))))))</f>
        <v>93.7297297297297</v>
      </c>
      <c r="D311" s="4">
        <f t="shared" si="9"/>
        <v>22033.7027027027</v>
      </c>
      <c r="E311" s="4">
        <f>IF(D311&lt;'等级-经验对照'!$B$4,0,LOOKUP(D311,'等级-经验对照'!$B$4:$B$103,'等级-经验对照'!$A$4:$A$103))</f>
        <v>88</v>
      </c>
      <c r="F311" s="3" t="str">
        <f t="shared" si="8"/>
        <v/>
      </c>
    </row>
    <row r="312" spans="1:6">
      <c r="A312" s="6">
        <f>参数说明!$B$8+308</f>
        <v>46505</v>
      </c>
      <c r="B312" s="4">
        <v>308</v>
      </c>
      <c r="C312" s="4">
        <f>IF(B312=0,0,IF(B312&lt;=7,FORECAST(B312,参数说明!$B$24:$B$25,参数说明!$A$24:$A$25),IF(B312&lt;=30,FORECAST(B312,参数说明!$B$25:$B$26,参数说明!$A$25:$A$26),IF(B312&lt;=60,FORECAST(B312,参数说明!$B$26:$B$27,参数说明!$A$26:$A$27),IF(B312&lt;=90,FORECAST(B312,参数说明!$B$27:$B$28,参数说明!$A$27:$A$28),IF(B312&lt;=180,FORECAST(B312,参数说明!$B$28:$B$29,参数说明!$A$28:$A$29),FORECAST(B312,参数说明!$B$29:$B$30,参数说明!$A$29:$A$30)))))))</f>
        <v>93.8378378378378</v>
      </c>
      <c r="D312" s="4">
        <f t="shared" si="9"/>
        <v>22127.5405405405</v>
      </c>
      <c r="E312" s="4">
        <f>IF(D312&lt;'等级-经验对照'!$B$4,0,LOOKUP(D312,'等级-经验对照'!$B$4:$B$103,'等级-经验对照'!$A$4:$A$103))</f>
        <v>88</v>
      </c>
      <c r="F312" s="3" t="str">
        <f t="shared" si="8"/>
        <v/>
      </c>
    </row>
    <row r="313" spans="1:6">
      <c r="A313" s="6">
        <f>参数说明!$B$8+309</f>
        <v>46506</v>
      </c>
      <c r="B313" s="4">
        <v>309</v>
      </c>
      <c r="C313" s="4">
        <f>IF(B313=0,0,IF(B313&lt;=7,FORECAST(B313,参数说明!$B$24:$B$25,参数说明!$A$24:$A$25),IF(B313&lt;=30,FORECAST(B313,参数说明!$B$25:$B$26,参数说明!$A$25:$A$26),IF(B313&lt;=60,FORECAST(B313,参数说明!$B$26:$B$27,参数说明!$A$26:$A$27),IF(B313&lt;=90,FORECAST(B313,参数说明!$B$27:$B$28,参数说明!$A$27:$A$28),IF(B313&lt;=180,FORECAST(B313,参数说明!$B$28:$B$29,参数说明!$A$28:$A$29),FORECAST(B313,参数说明!$B$29:$B$30,参数说明!$A$29:$A$30)))))))</f>
        <v>93.945945945946</v>
      </c>
      <c r="D313" s="4">
        <f t="shared" si="9"/>
        <v>22221.4864864865</v>
      </c>
      <c r="E313" s="4">
        <f>IF(D313&lt;'等级-经验对照'!$B$4,0,LOOKUP(D313,'等级-经验对照'!$B$4:$B$103,'等级-经验对照'!$A$4:$A$103))</f>
        <v>88</v>
      </c>
      <c r="F313" s="3" t="str">
        <f t="shared" si="8"/>
        <v/>
      </c>
    </row>
    <row r="314" spans="1:6">
      <c r="A314" s="6">
        <f>参数说明!$B$8+310</f>
        <v>46507</v>
      </c>
      <c r="B314" s="4">
        <v>310</v>
      </c>
      <c r="C314" s="4">
        <f>IF(B314=0,0,IF(B314&lt;=7,FORECAST(B314,参数说明!$B$24:$B$25,参数说明!$A$24:$A$25),IF(B314&lt;=30,FORECAST(B314,参数说明!$B$25:$B$26,参数说明!$A$25:$A$26),IF(B314&lt;=60,FORECAST(B314,参数说明!$B$26:$B$27,参数说明!$A$26:$A$27),IF(B314&lt;=90,FORECAST(B314,参数说明!$B$27:$B$28,参数说明!$A$27:$A$28),IF(B314&lt;=180,FORECAST(B314,参数说明!$B$28:$B$29,参数说明!$A$28:$A$29),FORECAST(B314,参数说明!$B$29:$B$30,参数说明!$A$29:$A$30)))))))</f>
        <v>94.0540540540541</v>
      </c>
      <c r="D314" s="4">
        <f t="shared" si="9"/>
        <v>22315.5405405405</v>
      </c>
      <c r="E314" s="4">
        <f>IF(D314&lt;'等级-经验对照'!$B$4,0,LOOKUP(D314,'等级-经验对照'!$B$4:$B$103,'等级-经验对照'!$A$4:$A$103))</f>
        <v>88</v>
      </c>
      <c r="F314" s="3" t="str">
        <f t="shared" si="8"/>
        <v/>
      </c>
    </row>
    <row r="315" spans="1:6">
      <c r="A315" s="6">
        <f>参数说明!$B$8+311</f>
        <v>46508</v>
      </c>
      <c r="B315" s="4">
        <v>311</v>
      </c>
      <c r="C315" s="4">
        <f>IF(B315=0,0,IF(B315&lt;=7,FORECAST(B315,参数说明!$B$24:$B$25,参数说明!$A$24:$A$25),IF(B315&lt;=30,FORECAST(B315,参数说明!$B$25:$B$26,参数说明!$A$25:$A$26),IF(B315&lt;=60,FORECAST(B315,参数说明!$B$26:$B$27,参数说明!$A$26:$A$27),IF(B315&lt;=90,FORECAST(B315,参数说明!$B$27:$B$28,参数说明!$A$27:$A$28),IF(B315&lt;=180,FORECAST(B315,参数说明!$B$28:$B$29,参数说明!$A$28:$A$29),FORECAST(B315,参数说明!$B$29:$B$30,参数说明!$A$29:$A$30)))))))</f>
        <v>94.1621621621622</v>
      </c>
      <c r="D315" s="4">
        <f t="shared" si="9"/>
        <v>22409.7027027027</v>
      </c>
      <c r="E315" s="4">
        <f>IF(D315&lt;'等级-经验对照'!$B$4,0,LOOKUP(D315,'等级-经验对照'!$B$4:$B$103,'等级-经验对照'!$A$4:$A$103))</f>
        <v>89</v>
      </c>
      <c r="F315" s="3" t="str">
        <f t="shared" si="8"/>
        <v/>
      </c>
    </row>
    <row r="316" spans="1:6">
      <c r="A316" s="6">
        <f>参数说明!$B$8+312</f>
        <v>46509</v>
      </c>
      <c r="B316" s="4">
        <v>312</v>
      </c>
      <c r="C316" s="4">
        <f>IF(B316=0,0,IF(B316&lt;=7,FORECAST(B316,参数说明!$B$24:$B$25,参数说明!$A$24:$A$25),IF(B316&lt;=30,FORECAST(B316,参数说明!$B$25:$B$26,参数说明!$A$25:$A$26),IF(B316&lt;=60,FORECAST(B316,参数说明!$B$26:$B$27,参数说明!$A$26:$A$27),IF(B316&lt;=90,FORECAST(B316,参数说明!$B$27:$B$28,参数说明!$A$27:$A$28),IF(B316&lt;=180,FORECAST(B316,参数说明!$B$28:$B$29,参数说明!$A$28:$A$29),FORECAST(B316,参数说明!$B$29:$B$30,参数说明!$A$29:$A$30)))))))</f>
        <v>94.2702702702703</v>
      </c>
      <c r="D316" s="4">
        <f t="shared" si="9"/>
        <v>22503.972972973</v>
      </c>
      <c r="E316" s="4">
        <f>IF(D316&lt;'等级-经验对照'!$B$4,0,LOOKUP(D316,'等级-经验对照'!$B$4:$B$103,'等级-经验对照'!$A$4:$A$103))</f>
        <v>89</v>
      </c>
      <c r="F316" s="3" t="str">
        <f t="shared" si="8"/>
        <v/>
      </c>
    </row>
    <row r="317" spans="1:6">
      <c r="A317" s="6">
        <f>参数说明!$B$8+313</f>
        <v>46510</v>
      </c>
      <c r="B317" s="4">
        <v>313</v>
      </c>
      <c r="C317" s="4">
        <f>IF(B317=0,0,IF(B317&lt;=7,FORECAST(B317,参数说明!$B$24:$B$25,参数说明!$A$24:$A$25),IF(B317&lt;=30,FORECAST(B317,参数说明!$B$25:$B$26,参数说明!$A$25:$A$26),IF(B317&lt;=60,FORECAST(B317,参数说明!$B$26:$B$27,参数说明!$A$26:$A$27),IF(B317&lt;=90,FORECAST(B317,参数说明!$B$27:$B$28,参数说明!$A$27:$A$28),IF(B317&lt;=180,FORECAST(B317,参数说明!$B$28:$B$29,参数说明!$A$28:$A$29),FORECAST(B317,参数说明!$B$29:$B$30,参数说明!$A$29:$A$30)))))))</f>
        <v>94.3783783783784</v>
      </c>
      <c r="D317" s="4">
        <f t="shared" si="9"/>
        <v>22598.3513513514</v>
      </c>
      <c r="E317" s="4">
        <f>IF(D317&lt;'等级-经验对照'!$B$4,0,LOOKUP(D317,'等级-经验对照'!$B$4:$B$103,'等级-经验对照'!$A$4:$A$103))</f>
        <v>89</v>
      </c>
      <c r="F317" s="3" t="str">
        <f t="shared" si="8"/>
        <v/>
      </c>
    </row>
    <row r="318" spans="1:6">
      <c r="A318" s="6">
        <f>参数说明!$B$8+314</f>
        <v>46511</v>
      </c>
      <c r="B318" s="4">
        <v>314</v>
      </c>
      <c r="C318" s="4">
        <f>IF(B318=0,0,IF(B318&lt;=7,FORECAST(B318,参数说明!$B$24:$B$25,参数说明!$A$24:$A$25),IF(B318&lt;=30,FORECAST(B318,参数说明!$B$25:$B$26,参数说明!$A$25:$A$26),IF(B318&lt;=60,FORECAST(B318,参数说明!$B$26:$B$27,参数说明!$A$26:$A$27),IF(B318&lt;=90,FORECAST(B318,参数说明!$B$27:$B$28,参数说明!$A$27:$A$28),IF(B318&lt;=180,FORECAST(B318,参数说明!$B$28:$B$29,参数说明!$A$28:$A$29),FORECAST(B318,参数说明!$B$29:$B$30,参数说明!$A$29:$A$30)))))))</f>
        <v>94.4864864864865</v>
      </c>
      <c r="D318" s="4">
        <f t="shared" si="9"/>
        <v>22692.8378378378</v>
      </c>
      <c r="E318" s="4">
        <f>IF(D318&lt;'等级-经验对照'!$B$4,0,LOOKUP(D318,'等级-经验对照'!$B$4:$B$103,'等级-经验对照'!$A$4:$A$103))</f>
        <v>89</v>
      </c>
      <c r="F318" s="3" t="str">
        <f t="shared" si="8"/>
        <v/>
      </c>
    </row>
    <row r="319" spans="1:6">
      <c r="A319" s="6">
        <f>参数说明!$B$8+315</f>
        <v>46512</v>
      </c>
      <c r="B319" s="4">
        <v>315</v>
      </c>
      <c r="C319" s="4">
        <f>IF(B319=0,0,IF(B319&lt;=7,FORECAST(B319,参数说明!$B$24:$B$25,参数说明!$A$24:$A$25),IF(B319&lt;=30,FORECAST(B319,参数说明!$B$25:$B$26,参数说明!$A$25:$A$26),IF(B319&lt;=60,FORECAST(B319,参数说明!$B$26:$B$27,参数说明!$A$26:$A$27),IF(B319&lt;=90,FORECAST(B319,参数说明!$B$27:$B$28,参数说明!$A$27:$A$28),IF(B319&lt;=180,FORECAST(B319,参数说明!$B$28:$B$29,参数说明!$A$28:$A$29),FORECAST(B319,参数说明!$B$29:$B$30,参数说明!$A$29:$A$30)))))))</f>
        <v>94.5945945945946</v>
      </c>
      <c r="D319" s="4">
        <f t="shared" si="9"/>
        <v>22787.4324324324</v>
      </c>
      <c r="E319" s="4">
        <f>IF(D319&lt;'等级-经验对照'!$B$4,0,LOOKUP(D319,'等级-经验对照'!$B$4:$B$103,'等级-经验对照'!$A$4:$A$103))</f>
        <v>89</v>
      </c>
      <c r="F319" s="3" t="str">
        <f t="shared" si="8"/>
        <v/>
      </c>
    </row>
    <row r="320" spans="1:6">
      <c r="A320" s="6">
        <f>参数说明!$B$8+316</f>
        <v>46513</v>
      </c>
      <c r="B320" s="4">
        <v>316</v>
      </c>
      <c r="C320" s="4">
        <f>IF(B320=0,0,IF(B320&lt;=7,FORECAST(B320,参数说明!$B$24:$B$25,参数说明!$A$24:$A$25),IF(B320&lt;=30,FORECAST(B320,参数说明!$B$25:$B$26,参数说明!$A$25:$A$26),IF(B320&lt;=60,FORECAST(B320,参数说明!$B$26:$B$27,参数说明!$A$26:$A$27),IF(B320&lt;=90,FORECAST(B320,参数说明!$B$27:$B$28,参数说明!$A$27:$A$28),IF(B320&lt;=180,FORECAST(B320,参数说明!$B$28:$B$29,参数说明!$A$28:$A$29),FORECAST(B320,参数说明!$B$29:$B$30,参数说明!$A$29:$A$30)))))))</f>
        <v>94.7027027027027</v>
      </c>
      <c r="D320" s="4">
        <f t="shared" si="9"/>
        <v>22882.1351351351</v>
      </c>
      <c r="E320" s="4">
        <f>IF(D320&lt;'等级-经验对照'!$B$4,0,LOOKUP(D320,'等级-经验对照'!$B$4:$B$103,'等级-经验对照'!$A$4:$A$103))</f>
        <v>90</v>
      </c>
      <c r="F320" s="3" t="str">
        <f t="shared" si="8"/>
        <v/>
      </c>
    </row>
    <row r="321" spans="1:6">
      <c r="A321" s="6">
        <f>参数说明!$B$8+317</f>
        <v>46514</v>
      </c>
      <c r="B321" s="4">
        <v>317</v>
      </c>
      <c r="C321" s="4">
        <f>IF(B321=0,0,IF(B321&lt;=7,FORECAST(B321,参数说明!$B$24:$B$25,参数说明!$A$24:$A$25),IF(B321&lt;=30,FORECAST(B321,参数说明!$B$25:$B$26,参数说明!$A$25:$A$26),IF(B321&lt;=60,FORECAST(B321,参数说明!$B$26:$B$27,参数说明!$A$26:$A$27),IF(B321&lt;=90,FORECAST(B321,参数说明!$B$27:$B$28,参数说明!$A$27:$A$28),IF(B321&lt;=180,FORECAST(B321,参数说明!$B$28:$B$29,参数说明!$A$28:$A$29),FORECAST(B321,参数说明!$B$29:$B$30,参数说明!$A$29:$A$30)))))))</f>
        <v>94.8108108108108</v>
      </c>
      <c r="D321" s="4">
        <f t="shared" si="9"/>
        <v>22976.9459459459</v>
      </c>
      <c r="E321" s="4">
        <f>IF(D321&lt;'等级-经验对照'!$B$4,0,LOOKUP(D321,'等级-经验对照'!$B$4:$B$103,'等级-经验对照'!$A$4:$A$103))</f>
        <v>90</v>
      </c>
      <c r="F321" s="3" t="str">
        <f t="shared" si="8"/>
        <v/>
      </c>
    </row>
    <row r="322" spans="1:6">
      <c r="A322" s="6">
        <f>参数说明!$B$8+318</f>
        <v>46515</v>
      </c>
      <c r="B322" s="4">
        <v>318</v>
      </c>
      <c r="C322" s="4">
        <f>IF(B322=0,0,IF(B322&lt;=7,FORECAST(B322,参数说明!$B$24:$B$25,参数说明!$A$24:$A$25),IF(B322&lt;=30,FORECAST(B322,参数说明!$B$25:$B$26,参数说明!$A$25:$A$26),IF(B322&lt;=60,FORECAST(B322,参数说明!$B$26:$B$27,参数说明!$A$26:$A$27),IF(B322&lt;=90,FORECAST(B322,参数说明!$B$27:$B$28,参数说明!$A$27:$A$28),IF(B322&lt;=180,FORECAST(B322,参数说明!$B$28:$B$29,参数说明!$A$28:$A$29),FORECAST(B322,参数说明!$B$29:$B$30,参数说明!$A$29:$A$30)))))))</f>
        <v>94.9189189189189</v>
      </c>
      <c r="D322" s="4">
        <f t="shared" si="9"/>
        <v>23071.8648648649</v>
      </c>
      <c r="E322" s="4">
        <f>IF(D322&lt;'等级-经验对照'!$B$4,0,LOOKUP(D322,'等级-经验对照'!$B$4:$B$103,'等级-经验对照'!$A$4:$A$103))</f>
        <v>90</v>
      </c>
      <c r="F322" s="3" t="str">
        <f t="shared" si="8"/>
        <v/>
      </c>
    </row>
    <row r="323" spans="1:6">
      <c r="A323" s="6">
        <f>参数说明!$B$8+319</f>
        <v>46516</v>
      </c>
      <c r="B323" s="4">
        <v>319</v>
      </c>
      <c r="C323" s="4">
        <f>IF(B323=0,0,IF(B323&lt;=7,FORECAST(B323,参数说明!$B$24:$B$25,参数说明!$A$24:$A$25),IF(B323&lt;=30,FORECAST(B323,参数说明!$B$25:$B$26,参数说明!$A$25:$A$26),IF(B323&lt;=60,FORECAST(B323,参数说明!$B$26:$B$27,参数说明!$A$26:$A$27),IF(B323&lt;=90,FORECAST(B323,参数说明!$B$27:$B$28,参数说明!$A$27:$A$28),IF(B323&lt;=180,FORECAST(B323,参数说明!$B$28:$B$29,参数说明!$A$28:$A$29),FORECAST(B323,参数说明!$B$29:$B$30,参数说明!$A$29:$A$30)))))))</f>
        <v>95.027027027027</v>
      </c>
      <c r="D323" s="4">
        <f t="shared" si="9"/>
        <v>23166.8918918919</v>
      </c>
      <c r="E323" s="4">
        <f>IF(D323&lt;'等级-经验对照'!$B$4,0,LOOKUP(D323,'等级-经验对照'!$B$4:$B$103,'等级-经验对照'!$A$4:$A$103))</f>
        <v>90</v>
      </c>
      <c r="F323" s="3" t="str">
        <f t="shared" si="8"/>
        <v/>
      </c>
    </row>
    <row r="324" spans="1:6">
      <c r="A324" s="6">
        <f>参数说明!$B$8+320</f>
        <v>46517</v>
      </c>
      <c r="B324" s="4">
        <v>320</v>
      </c>
      <c r="C324" s="4">
        <f>IF(B324=0,0,IF(B324&lt;=7,FORECAST(B324,参数说明!$B$24:$B$25,参数说明!$A$24:$A$25),IF(B324&lt;=30,FORECAST(B324,参数说明!$B$25:$B$26,参数说明!$A$25:$A$26),IF(B324&lt;=60,FORECAST(B324,参数说明!$B$26:$B$27,参数说明!$A$26:$A$27),IF(B324&lt;=90,FORECAST(B324,参数说明!$B$27:$B$28,参数说明!$A$27:$A$28),IF(B324&lt;=180,FORECAST(B324,参数说明!$B$28:$B$29,参数说明!$A$28:$A$29),FORECAST(B324,参数说明!$B$29:$B$30,参数说明!$A$29:$A$30)))))))</f>
        <v>95.1351351351351</v>
      </c>
      <c r="D324" s="4">
        <f t="shared" si="9"/>
        <v>23262.027027027</v>
      </c>
      <c r="E324" s="4">
        <f>IF(D324&lt;'等级-经验对照'!$B$4,0,LOOKUP(D324,'等级-经验对照'!$B$4:$B$103,'等级-经验对照'!$A$4:$A$103))</f>
        <v>90</v>
      </c>
      <c r="F324" s="3" t="str">
        <f t="shared" ref="F324:F369" si="10">IF(OR(B324=1,B324=7,B324=30,B324=60,B324=90,B324=180,B324=365),"D"&amp;B324&amp;" / Lv"&amp;E324&amp;" / "&amp;ROUND(D324,0)&amp;" XP","")</f>
        <v/>
      </c>
    </row>
    <row r="325" spans="1:6">
      <c r="A325" s="6">
        <f>参数说明!$B$8+321</f>
        <v>46518</v>
      </c>
      <c r="B325" s="4">
        <v>321</v>
      </c>
      <c r="C325" s="4">
        <f>IF(B325=0,0,IF(B325&lt;=7,FORECAST(B325,参数说明!$B$24:$B$25,参数说明!$A$24:$A$25),IF(B325&lt;=30,FORECAST(B325,参数说明!$B$25:$B$26,参数说明!$A$25:$A$26),IF(B325&lt;=60,FORECAST(B325,参数说明!$B$26:$B$27,参数说明!$A$26:$A$27),IF(B325&lt;=90,FORECAST(B325,参数说明!$B$27:$B$28,参数说明!$A$27:$A$28),IF(B325&lt;=180,FORECAST(B325,参数说明!$B$28:$B$29,参数说明!$A$28:$A$29),FORECAST(B325,参数说明!$B$29:$B$30,参数说明!$A$29:$A$30)))))))</f>
        <v>95.2432432432432</v>
      </c>
      <c r="D325" s="4">
        <f t="shared" ref="D325:D369" si="11">D324+C325</f>
        <v>23357.2702702703</v>
      </c>
      <c r="E325" s="4">
        <f>IF(D325&lt;'等级-经验对照'!$B$4,0,LOOKUP(D325,'等级-经验对照'!$B$4:$B$103,'等级-经验对照'!$A$4:$A$103))</f>
        <v>91</v>
      </c>
      <c r="F325" s="3" t="str">
        <f t="shared" si="10"/>
        <v/>
      </c>
    </row>
    <row r="326" spans="1:6">
      <c r="A326" s="6">
        <f>参数说明!$B$8+322</f>
        <v>46519</v>
      </c>
      <c r="B326" s="4">
        <v>322</v>
      </c>
      <c r="C326" s="4">
        <f>IF(B326=0,0,IF(B326&lt;=7,FORECAST(B326,参数说明!$B$24:$B$25,参数说明!$A$24:$A$25),IF(B326&lt;=30,FORECAST(B326,参数说明!$B$25:$B$26,参数说明!$A$25:$A$26),IF(B326&lt;=60,FORECAST(B326,参数说明!$B$26:$B$27,参数说明!$A$26:$A$27),IF(B326&lt;=90,FORECAST(B326,参数说明!$B$27:$B$28,参数说明!$A$27:$A$28),IF(B326&lt;=180,FORECAST(B326,参数说明!$B$28:$B$29,参数说明!$A$28:$A$29),FORECAST(B326,参数说明!$B$29:$B$30,参数说明!$A$29:$A$30)))))))</f>
        <v>95.3513513513514</v>
      </c>
      <c r="D326" s="4">
        <f t="shared" si="11"/>
        <v>23452.6216216216</v>
      </c>
      <c r="E326" s="4">
        <f>IF(D326&lt;'等级-经验对照'!$B$4,0,LOOKUP(D326,'等级-经验对照'!$B$4:$B$103,'等级-经验对照'!$A$4:$A$103))</f>
        <v>91</v>
      </c>
      <c r="F326" s="3" t="str">
        <f t="shared" si="10"/>
        <v/>
      </c>
    </row>
    <row r="327" spans="1:6">
      <c r="A327" s="6">
        <f>参数说明!$B$8+323</f>
        <v>46520</v>
      </c>
      <c r="B327" s="4">
        <v>323</v>
      </c>
      <c r="C327" s="4">
        <f>IF(B327=0,0,IF(B327&lt;=7,FORECAST(B327,参数说明!$B$24:$B$25,参数说明!$A$24:$A$25),IF(B327&lt;=30,FORECAST(B327,参数说明!$B$25:$B$26,参数说明!$A$25:$A$26),IF(B327&lt;=60,FORECAST(B327,参数说明!$B$26:$B$27,参数说明!$A$26:$A$27),IF(B327&lt;=90,FORECAST(B327,参数说明!$B$27:$B$28,参数说明!$A$27:$A$28),IF(B327&lt;=180,FORECAST(B327,参数说明!$B$28:$B$29,参数说明!$A$28:$A$29),FORECAST(B327,参数说明!$B$29:$B$30,参数说明!$A$29:$A$30)))))))</f>
        <v>95.4594594594595</v>
      </c>
      <c r="D327" s="4">
        <f t="shared" si="11"/>
        <v>23548.0810810811</v>
      </c>
      <c r="E327" s="4">
        <f>IF(D327&lt;'等级-经验对照'!$B$4,0,LOOKUP(D327,'等级-经验对照'!$B$4:$B$103,'等级-经验对照'!$A$4:$A$103))</f>
        <v>91</v>
      </c>
      <c r="F327" s="3" t="str">
        <f t="shared" si="10"/>
        <v/>
      </c>
    </row>
    <row r="328" spans="1:6">
      <c r="A328" s="6">
        <f>参数说明!$B$8+324</f>
        <v>46521</v>
      </c>
      <c r="B328" s="4">
        <v>324</v>
      </c>
      <c r="C328" s="4">
        <f>IF(B328=0,0,IF(B328&lt;=7,FORECAST(B328,参数说明!$B$24:$B$25,参数说明!$A$24:$A$25),IF(B328&lt;=30,FORECAST(B328,参数说明!$B$25:$B$26,参数说明!$A$25:$A$26),IF(B328&lt;=60,FORECAST(B328,参数说明!$B$26:$B$27,参数说明!$A$26:$A$27),IF(B328&lt;=90,FORECAST(B328,参数说明!$B$27:$B$28,参数说明!$A$27:$A$28),IF(B328&lt;=180,FORECAST(B328,参数说明!$B$28:$B$29,参数说明!$A$28:$A$29),FORECAST(B328,参数说明!$B$29:$B$30,参数说明!$A$29:$A$30)))))))</f>
        <v>95.5675675675676</v>
      </c>
      <c r="D328" s="4">
        <f t="shared" si="11"/>
        <v>23643.6486486487</v>
      </c>
      <c r="E328" s="4">
        <f>IF(D328&lt;'等级-经验对照'!$B$4,0,LOOKUP(D328,'等级-经验对照'!$B$4:$B$103,'等级-经验对照'!$A$4:$A$103))</f>
        <v>91</v>
      </c>
      <c r="F328" s="3" t="str">
        <f t="shared" si="10"/>
        <v/>
      </c>
    </row>
    <row r="329" spans="1:6">
      <c r="A329" s="6">
        <f>参数说明!$B$8+325</f>
        <v>46522</v>
      </c>
      <c r="B329" s="4">
        <v>325</v>
      </c>
      <c r="C329" s="4">
        <f>IF(B329=0,0,IF(B329&lt;=7,FORECAST(B329,参数说明!$B$24:$B$25,参数说明!$A$24:$A$25),IF(B329&lt;=30,FORECAST(B329,参数说明!$B$25:$B$26,参数说明!$A$25:$A$26),IF(B329&lt;=60,FORECAST(B329,参数说明!$B$26:$B$27,参数说明!$A$26:$A$27),IF(B329&lt;=90,FORECAST(B329,参数说明!$B$27:$B$28,参数说明!$A$27:$A$28),IF(B329&lt;=180,FORECAST(B329,参数说明!$B$28:$B$29,参数说明!$A$28:$A$29),FORECAST(B329,参数说明!$B$29:$B$30,参数说明!$A$29:$A$30)))))))</f>
        <v>95.6756756756757</v>
      </c>
      <c r="D329" s="4">
        <f t="shared" si="11"/>
        <v>23739.3243243243</v>
      </c>
      <c r="E329" s="4">
        <f>IF(D329&lt;'等级-经验对照'!$B$4,0,LOOKUP(D329,'等级-经验对照'!$B$4:$B$103,'等级-经验对照'!$A$4:$A$103))</f>
        <v>91</v>
      </c>
      <c r="F329" s="3" t="str">
        <f t="shared" si="10"/>
        <v/>
      </c>
    </row>
    <row r="330" spans="1:6">
      <c r="A330" s="6">
        <f>参数说明!$B$8+326</f>
        <v>46523</v>
      </c>
      <c r="B330" s="4">
        <v>326</v>
      </c>
      <c r="C330" s="4">
        <f>IF(B330=0,0,IF(B330&lt;=7,FORECAST(B330,参数说明!$B$24:$B$25,参数说明!$A$24:$A$25),IF(B330&lt;=30,FORECAST(B330,参数说明!$B$25:$B$26,参数说明!$A$25:$A$26),IF(B330&lt;=60,FORECAST(B330,参数说明!$B$26:$B$27,参数说明!$A$26:$A$27),IF(B330&lt;=90,FORECAST(B330,参数说明!$B$27:$B$28,参数说明!$A$27:$A$28),IF(B330&lt;=180,FORECAST(B330,参数说明!$B$28:$B$29,参数说明!$A$28:$A$29),FORECAST(B330,参数说明!$B$29:$B$30,参数说明!$A$29:$A$30)))))))</f>
        <v>95.7837837837838</v>
      </c>
      <c r="D330" s="4">
        <f t="shared" si="11"/>
        <v>23835.1081081081</v>
      </c>
      <c r="E330" s="4">
        <f>IF(D330&lt;'等级-经验对照'!$B$4,0,LOOKUP(D330,'等级-经验对照'!$B$4:$B$103,'等级-经验对照'!$A$4:$A$103))</f>
        <v>92</v>
      </c>
      <c r="F330" s="3" t="str">
        <f t="shared" si="10"/>
        <v/>
      </c>
    </row>
    <row r="331" spans="1:6">
      <c r="A331" s="6">
        <f>参数说明!$B$8+327</f>
        <v>46524</v>
      </c>
      <c r="B331" s="4">
        <v>327</v>
      </c>
      <c r="C331" s="4">
        <f>IF(B331=0,0,IF(B331&lt;=7,FORECAST(B331,参数说明!$B$24:$B$25,参数说明!$A$24:$A$25),IF(B331&lt;=30,FORECAST(B331,参数说明!$B$25:$B$26,参数说明!$A$25:$A$26),IF(B331&lt;=60,FORECAST(B331,参数说明!$B$26:$B$27,参数说明!$A$26:$A$27),IF(B331&lt;=90,FORECAST(B331,参数说明!$B$27:$B$28,参数说明!$A$27:$A$28),IF(B331&lt;=180,FORECAST(B331,参数说明!$B$28:$B$29,参数说明!$A$28:$A$29),FORECAST(B331,参数说明!$B$29:$B$30,参数说明!$A$29:$A$30)))))))</f>
        <v>95.8918918918919</v>
      </c>
      <c r="D331" s="4">
        <f t="shared" si="11"/>
        <v>23931</v>
      </c>
      <c r="E331" s="4">
        <f>IF(D331&lt;'等级-经验对照'!$B$4,0,LOOKUP(D331,'等级-经验对照'!$B$4:$B$103,'等级-经验对照'!$A$4:$A$103))</f>
        <v>92</v>
      </c>
      <c r="F331" s="3" t="str">
        <f t="shared" si="10"/>
        <v/>
      </c>
    </row>
    <row r="332" spans="1:6">
      <c r="A332" s="6">
        <f>参数说明!$B$8+328</f>
        <v>46525</v>
      </c>
      <c r="B332" s="4">
        <v>328</v>
      </c>
      <c r="C332" s="4">
        <f>IF(B332=0,0,IF(B332&lt;=7,FORECAST(B332,参数说明!$B$24:$B$25,参数说明!$A$24:$A$25),IF(B332&lt;=30,FORECAST(B332,参数说明!$B$25:$B$26,参数说明!$A$25:$A$26),IF(B332&lt;=60,FORECAST(B332,参数说明!$B$26:$B$27,参数说明!$A$26:$A$27),IF(B332&lt;=90,FORECAST(B332,参数说明!$B$27:$B$28,参数说明!$A$27:$A$28),IF(B332&lt;=180,FORECAST(B332,参数说明!$B$28:$B$29,参数说明!$A$28:$A$29),FORECAST(B332,参数说明!$B$29:$B$30,参数说明!$A$29:$A$30)))))))</f>
        <v>96</v>
      </c>
      <c r="D332" s="4">
        <f t="shared" si="11"/>
        <v>24027</v>
      </c>
      <c r="E332" s="4">
        <f>IF(D332&lt;'等级-经验对照'!$B$4,0,LOOKUP(D332,'等级-经验对照'!$B$4:$B$103,'等级-经验对照'!$A$4:$A$103))</f>
        <v>92</v>
      </c>
      <c r="F332" s="3" t="str">
        <f t="shared" si="10"/>
        <v/>
      </c>
    </row>
    <row r="333" spans="1:6">
      <c r="A333" s="6">
        <f>参数说明!$B$8+329</f>
        <v>46526</v>
      </c>
      <c r="B333" s="4">
        <v>329</v>
      </c>
      <c r="C333" s="4">
        <f>IF(B333=0,0,IF(B333&lt;=7,FORECAST(B333,参数说明!$B$24:$B$25,参数说明!$A$24:$A$25),IF(B333&lt;=30,FORECAST(B333,参数说明!$B$25:$B$26,参数说明!$A$25:$A$26),IF(B333&lt;=60,FORECAST(B333,参数说明!$B$26:$B$27,参数说明!$A$26:$A$27),IF(B333&lt;=90,FORECAST(B333,参数说明!$B$27:$B$28,参数说明!$A$27:$A$28),IF(B333&lt;=180,FORECAST(B333,参数说明!$B$28:$B$29,参数说明!$A$28:$A$29),FORECAST(B333,参数说明!$B$29:$B$30,参数说明!$A$29:$A$30)))))))</f>
        <v>96.1081081081081</v>
      </c>
      <c r="D333" s="4">
        <f t="shared" si="11"/>
        <v>24123.1081081081</v>
      </c>
      <c r="E333" s="4">
        <f>IF(D333&lt;'等级-经验对照'!$B$4,0,LOOKUP(D333,'等级-经验对照'!$B$4:$B$103,'等级-经验对照'!$A$4:$A$103))</f>
        <v>92</v>
      </c>
      <c r="F333" s="3" t="str">
        <f t="shared" si="10"/>
        <v/>
      </c>
    </row>
    <row r="334" spans="1:6">
      <c r="A334" s="6">
        <f>参数说明!$B$8+330</f>
        <v>46527</v>
      </c>
      <c r="B334" s="4">
        <v>330</v>
      </c>
      <c r="C334" s="4">
        <f>IF(B334=0,0,IF(B334&lt;=7,FORECAST(B334,参数说明!$B$24:$B$25,参数说明!$A$24:$A$25),IF(B334&lt;=30,FORECAST(B334,参数说明!$B$25:$B$26,参数说明!$A$25:$A$26),IF(B334&lt;=60,FORECAST(B334,参数说明!$B$26:$B$27,参数说明!$A$26:$A$27),IF(B334&lt;=90,FORECAST(B334,参数说明!$B$27:$B$28,参数说明!$A$27:$A$28),IF(B334&lt;=180,FORECAST(B334,参数说明!$B$28:$B$29,参数说明!$A$28:$A$29),FORECAST(B334,参数说明!$B$29:$B$30,参数说明!$A$29:$A$30)))))))</f>
        <v>96.2162162162162</v>
      </c>
      <c r="D334" s="4">
        <f t="shared" si="11"/>
        <v>24219.3243243243</v>
      </c>
      <c r="E334" s="4">
        <f>IF(D334&lt;'等级-经验对照'!$B$4,0,LOOKUP(D334,'等级-经验对照'!$B$4:$B$103,'等级-经验对照'!$A$4:$A$103))</f>
        <v>92</v>
      </c>
      <c r="F334" s="3" t="str">
        <f t="shared" si="10"/>
        <v/>
      </c>
    </row>
    <row r="335" spans="1:6">
      <c r="A335" s="6">
        <f>参数说明!$B$8+331</f>
        <v>46528</v>
      </c>
      <c r="B335" s="4">
        <v>331</v>
      </c>
      <c r="C335" s="4">
        <f>IF(B335=0,0,IF(B335&lt;=7,FORECAST(B335,参数说明!$B$24:$B$25,参数说明!$A$24:$A$25),IF(B335&lt;=30,FORECAST(B335,参数说明!$B$25:$B$26,参数说明!$A$25:$A$26),IF(B335&lt;=60,FORECAST(B335,参数说明!$B$26:$B$27,参数说明!$A$26:$A$27),IF(B335&lt;=90,FORECAST(B335,参数说明!$B$27:$B$28,参数说明!$A$27:$A$28),IF(B335&lt;=180,FORECAST(B335,参数说明!$B$28:$B$29,参数说明!$A$28:$A$29),FORECAST(B335,参数说明!$B$29:$B$30,参数说明!$A$29:$A$30)))))))</f>
        <v>96.3243243243243</v>
      </c>
      <c r="D335" s="4">
        <f t="shared" si="11"/>
        <v>24315.6486486487</v>
      </c>
      <c r="E335" s="4">
        <f>IF(D335&lt;'等级-经验对照'!$B$4,0,LOOKUP(D335,'等级-经验对照'!$B$4:$B$103,'等级-经验对照'!$A$4:$A$103))</f>
        <v>93</v>
      </c>
      <c r="F335" s="3" t="str">
        <f t="shared" si="10"/>
        <v/>
      </c>
    </row>
    <row r="336" spans="1:6">
      <c r="A336" s="6">
        <f>参数说明!$B$8+332</f>
        <v>46529</v>
      </c>
      <c r="B336" s="4">
        <v>332</v>
      </c>
      <c r="C336" s="4">
        <f>IF(B336=0,0,IF(B336&lt;=7,FORECAST(B336,参数说明!$B$24:$B$25,参数说明!$A$24:$A$25),IF(B336&lt;=30,FORECAST(B336,参数说明!$B$25:$B$26,参数说明!$A$25:$A$26),IF(B336&lt;=60,FORECAST(B336,参数说明!$B$26:$B$27,参数说明!$A$26:$A$27),IF(B336&lt;=90,FORECAST(B336,参数说明!$B$27:$B$28,参数说明!$A$27:$A$28),IF(B336&lt;=180,FORECAST(B336,参数说明!$B$28:$B$29,参数说明!$A$28:$A$29),FORECAST(B336,参数说明!$B$29:$B$30,参数说明!$A$29:$A$30)))))))</f>
        <v>96.4324324324324</v>
      </c>
      <c r="D336" s="4">
        <f t="shared" si="11"/>
        <v>24412.0810810811</v>
      </c>
      <c r="E336" s="4">
        <f>IF(D336&lt;'等级-经验对照'!$B$4,0,LOOKUP(D336,'等级-经验对照'!$B$4:$B$103,'等级-经验对照'!$A$4:$A$103))</f>
        <v>93</v>
      </c>
      <c r="F336" s="3" t="str">
        <f t="shared" si="10"/>
        <v/>
      </c>
    </row>
    <row r="337" spans="1:6">
      <c r="A337" s="6">
        <f>参数说明!$B$8+333</f>
        <v>46530</v>
      </c>
      <c r="B337" s="4">
        <v>333</v>
      </c>
      <c r="C337" s="4">
        <f>IF(B337=0,0,IF(B337&lt;=7,FORECAST(B337,参数说明!$B$24:$B$25,参数说明!$A$24:$A$25),IF(B337&lt;=30,FORECAST(B337,参数说明!$B$25:$B$26,参数说明!$A$25:$A$26),IF(B337&lt;=60,FORECAST(B337,参数说明!$B$26:$B$27,参数说明!$A$26:$A$27),IF(B337&lt;=90,FORECAST(B337,参数说明!$B$27:$B$28,参数说明!$A$27:$A$28),IF(B337&lt;=180,FORECAST(B337,参数说明!$B$28:$B$29,参数说明!$A$28:$A$29),FORECAST(B337,参数说明!$B$29:$B$30,参数说明!$A$29:$A$30)))))))</f>
        <v>96.5405405405405</v>
      </c>
      <c r="D337" s="4">
        <f t="shared" si="11"/>
        <v>24508.6216216216</v>
      </c>
      <c r="E337" s="4">
        <f>IF(D337&lt;'等级-经验对照'!$B$4,0,LOOKUP(D337,'等级-经验对照'!$B$4:$B$103,'等级-经验对照'!$A$4:$A$103))</f>
        <v>93</v>
      </c>
      <c r="F337" s="3" t="str">
        <f t="shared" si="10"/>
        <v/>
      </c>
    </row>
    <row r="338" spans="1:6">
      <c r="A338" s="6">
        <f>参数说明!$B$8+334</f>
        <v>46531</v>
      </c>
      <c r="B338" s="4">
        <v>334</v>
      </c>
      <c r="C338" s="4">
        <f>IF(B338=0,0,IF(B338&lt;=7,FORECAST(B338,参数说明!$B$24:$B$25,参数说明!$A$24:$A$25),IF(B338&lt;=30,FORECAST(B338,参数说明!$B$25:$B$26,参数说明!$A$25:$A$26),IF(B338&lt;=60,FORECAST(B338,参数说明!$B$26:$B$27,参数说明!$A$26:$A$27),IF(B338&lt;=90,FORECAST(B338,参数说明!$B$27:$B$28,参数说明!$A$27:$A$28),IF(B338&lt;=180,FORECAST(B338,参数说明!$B$28:$B$29,参数说明!$A$28:$A$29),FORECAST(B338,参数说明!$B$29:$B$30,参数说明!$A$29:$A$30)))))))</f>
        <v>96.6486486486486</v>
      </c>
      <c r="D338" s="4">
        <f t="shared" si="11"/>
        <v>24605.2702702703</v>
      </c>
      <c r="E338" s="4">
        <f>IF(D338&lt;'等级-经验对照'!$B$4,0,LOOKUP(D338,'等级-经验对照'!$B$4:$B$103,'等级-经验对照'!$A$4:$A$103))</f>
        <v>93</v>
      </c>
      <c r="F338" s="3" t="str">
        <f t="shared" si="10"/>
        <v/>
      </c>
    </row>
    <row r="339" spans="1:6">
      <c r="A339" s="6">
        <f>参数说明!$B$8+335</f>
        <v>46532</v>
      </c>
      <c r="B339" s="4">
        <v>335</v>
      </c>
      <c r="C339" s="4">
        <f>IF(B339=0,0,IF(B339&lt;=7,FORECAST(B339,参数说明!$B$24:$B$25,参数说明!$A$24:$A$25),IF(B339&lt;=30,FORECAST(B339,参数说明!$B$25:$B$26,参数说明!$A$25:$A$26),IF(B339&lt;=60,FORECAST(B339,参数说明!$B$26:$B$27,参数说明!$A$26:$A$27),IF(B339&lt;=90,FORECAST(B339,参数说明!$B$27:$B$28,参数说明!$A$27:$A$28),IF(B339&lt;=180,FORECAST(B339,参数说明!$B$28:$B$29,参数说明!$A$28:$A$29),FORECAST(B339,参数说明!$B$29:$B$30,参数说明!$A$29:$A$30)))))))</f>
        <v>96.7567567567568</v>
      </c>
      <c r="D339" s="4">
        <f t="shared" si="11"/>
        <v>24702.027027027</v>
      </c>
      <c r="E339" s="4">
        <f>IF(D339&lt;'等级-经验对照'!$B$4,0,LOOKUP(D339,'等级-经验对照'!$B$4:$B$103,'等级-经验对照'!$A$4:$A$103))</f>
        <v>93</v>
      </c>
      <c r="F339" s="3" t="str">
        <f t="shared" si="10"/>
        <v/>
      </c>
    </row>
    <row r="340" spans="1:6">
      <c r="A340" s="6">
        <f>参数说明!$B$8+336</f>
        <v>46533</v>
      </c>
      <c r="B340" s="4">
        <v>336</v>
      </c>
      <c r="C340" s="4">
        <f>IF(B340=0,0,IF(B340&lt;=7,FORECAST(B340,参数说明!$B$24:$B$25,参数说明!$A$24:$A$25),IF(B340&lt;=30,FORECAST(B340,参数说明!$B$25:$B$26,参数说明!$A$25:$A$26),IF(B340&lt;=60,FORECAST(B340,参数说明!$B$26:$B$27,参数说明!$A$26:$A$27),IF(B340&lt;=90,FORECAST(B340,参数说明!$B$27:$B$28,参数说明!$A$27:$A$28),IF(B340&lt;=180,FORECAST(B340,参数说明!$B$28:$B$29,参数说明!$A$28:$A$29),FORECAST(B340,参数说明!$B$29:$B$30,参数说明!$A$29:$A$30)))))))</f>
        <v>96.8648648648649</v>
      </c>
      <c r="D340" s="4">
        <f t="shared" si="11"/>
        <v>24798.8918918919</v>
      </c>
      <c r="E340" s="4">
        <f>IF(D340&lt;'等级-经验对照'!$B$4,0,LOOKUP(D340,'等级-经验对照'!$B$4:$B$103,'等级-经验对照'!$A$4:$A$103))</f>
        <v>94</v>
      </c>
      <c r="F340" s="3" t="str">
        <f t="shared" si="10"/>
        <v/>
      </c>
    </row>
    <row r="341" spans="1:6">
      <c r="A341" s="6">
        <f>参数说明!$B$8+337</f>
        <v>46534</v>
      </c>
      <c r="B341" s="4">
        <v>337</v>
      </c>
      <c r="C341" s="4">
        <f>IF(B341=0,0,IF(B341&lt;=7,FORECAST(B341,参数说明!$B$24:$B$25,参数说明!$A$24:$A$25),IF(B341&lt;=30,FORECAST(B341,参数说明!$B$25:$B$26,参数说明!$A$25:$A$26),IF(B341&lt;=60,FORECAST(B341,参数说明!$B$26:$B$27,参数说明!$A$26:$A$27),IF(B341&lt;=90,FORECAST(B341,参数说明!$B$27:$B$28,参数说明!$A$27:$A$28),IF(B341&lt;=180,FORECAST(B341,参数说明!$B$28:$B$29,参数说明!$A$28:$A$29),FORECAST(B341,参数说明!$B$29:$B$30,参数说明!$A$29:$A$30)))))))</f>
        <v>96.972972972973</v>
      </c>
      <c r="D341" s="4">
        <f t="shared" si="11"/>
        <v>24895.8648648649</v>
      </c>
      <c r="E341" s="4">
        <f>IF(D341&lt;'等级-经验对照'!$B$4,0,LOOKUP(D341,'等级-经验对照'!$B$4:$B$103,'等级-经验对照'!$A$4:$A$103))</f>
        <v>94</v>
      </c>
      <c r="F341" s="3" t="str">
        <f t="shared" si="10"/>
        <v/>
      </c>
    </row>
    <row r="342" spans="1:6">
      <c r="A342" s="6">
        <f>参数说明!$B$8+338</f>
        <v>46535</v>
      </c>
      <c r="B342" s="4">
        <v>338</v>
      </c>
      <c r="C342" s="4">
        <f>IF(B342=0,0,IF(B342&lt;=7,FORECAST(B342,参数说明!$B$24:$B$25,参数说明!$A$24:$A$25),IF(B342&lt;=30,FORECAST(B342,参数说明!$B$25:$B$26,参数说明!$A$25:$A$26),IF(B342&lt;=60,FORECAST(B342,参数说明!$B$26:$B$27,参数说明!$A$26:$A$27),IF(B342&lt;=90,FORECAST(B342,参数说明!$B$27:$B$28,参数说明!$A$27:$A$28),IF(B342&lt;=180,FORECAST(B342,参数说明!$B$28:$B$29,参数说明!$A$28:$A$29),FORECAST(B342,参数说明!$B$29:$B$30,参数说明!$A$29:$A$30)))))))</f>
        <v>97.0810810810811</v>
      </c>
      <c r="D342" s="4">
        <f t="shared" si="11"/>
        <v>24992.9459459459</v>
      </c>
      <c r="E342" s="4">
        <f>IF(D342&lt;'等级-经验对照'!$B$4,0,LOOKUP(D342,'等级-经验对照'!$B$4:$B$103,'等级-经验对照'!$A$4:$A$103))</f>
        <v>94</v>
      </c>
      <c r="F342" s="3" t="str">
        <f t="shared" si="10"/>
        <v/>
      </c>
    </row>
    <row r="343" spans="1:6">
      <c r="A343" s="6">
        <f>参数说明!$B$8+339</f>
        <v>46536</v>
      </c>
      <c r="B343" s="4">
        <v>339</v>
      </c>
      <c r="C343" s="4">
        <f>IF(B343=0,0,IF(B343&lt;=7,FORECAST(B343,参数说明!$B$24:$B$25,参数说明!$A$24:$A$25),IF(B343&lt;=30,FORECAST(B343,参数说明!$B$25:$B$26,参数说明!$A$25:$A$26),IF(B343&lt;=60,FORECAST(B343,参数说明!$B$26:$B$27,参数说明!$A$26:$A$27),IF(B343&lt;=90,FORECAST(B343,参数说明!$B$27:$B$28,参数说明!$A$27:$A$28),IF(B343&lt;=180,FORECAST(B343,参数说明!$B$28:$B$29,参数说明!$A$28:$A$29),FORECAST(B343,参数说明!$B$29:$B$30,参数说明!$A$29:$A$30)))))))</f>
        <v>97.1891891891892</v>
      </c>
      <c r="D343" s="4">
        <f t="shared" si="11"/>
        <v>25090.1351351351</v>
      </c>
      <c r="E343" s="4">
        <f>IF(D343&lt;'等级-经验对照'!$B$4,0,LOOKUP(D343,'等级-经验对照'!$B$4:$B$103,'等级-经验对照'!$A$4:$A$103))</f>
        <v>94</v>
      </c>
      <c r="F343" s="3" t="str">
        <f t="shared" si="10"/>
        <v/>
      </c>
    </row>
    <row r="344" spans="1:6">
      <c r="A344" s="6">
        <f>参数说明!$B$8+340</f>
        <v>46537</v>
      </c>
      <c r="B344" s="4">
        <v>340</v>
      </c>
      <c r="C344" s="4">
        <f>IF(B344=0,0,IF(B344&lt;=7,FORECAST(B344,参数说明!$B$24:$B$25,参数说明!$A$24:$A$25),IF(B344&lt;=30,FORECAST(B344,参数说明!$B$25:$B$26,参数说明!$A$25:$A$26),IF(B344&lt;=60,FORECAST(B344,参数说明!$B$26:$B$27,参数说明!$A$26:$A$27),IF(B344&lt;=90,FORECAST(B344,参数说明!$B$27:$B$28,参数说明!$A$27:$A$28),IF(B344&lt;=180,FORECAST(B344,参数说明!$B$28:$B$29,参数说明!$A$28:$A$29),FORECAST(B344,参数说明!$B$29:$B$30,参数说明!$A$29:$A$30)))))))</f>
        <v>97.2972972972973</v>
      </c>
      <c r="D344" s="4">
        <f t="shared" si="11"/>
        <v>25187.4324324324</v>
      </c>
      <c r="E344" s="4">
        <f>IF(D344&lt;'等级-经验对照'!$B$4,0,LOOKUP(D344,'等级-经验对照'!$B$4:$B$103,'等级-经验对照'!$A$4:$A$103))</f>
        <v>94</v>
      </c>
      <c r="F344" s="3" t="str">
        <f t="shared" si="10"/>
        <v/>
      </c>
    </row>
    <row r="345" spans="1:6">
      <c r="A345" s="6">
        <f>参数说明!$B$8+341</f>
        <v>46538</v>
      </c>
      <c r="B345" s="4">
        <v>341</v>
      </c>
      <c r="C345" s="4">
        <f>IF(B345=0,0,IF(B345&lt;=7,FORECAST(B345,参数说明!$B$24:$B$25,参数说明!$A$24:$A$25),IF(B345&lt;=30,FORECAST(B345,参数说明!$B$25:$B$26,参数说明!$A$25:$A$26),IF(B345&lt;=60,FORECAST(B345,参数说明!$B$26:$B$27,参数说明!$A$26:$A$27),IF(B345&lt;=90,FORECAST(B345,参数说明!$B$27:$B$28,参数说明!$A$27:$A$28),IF(B345&lt;=180,FORECAST(B345,参数说明!$B$28:$B$29,参数说明!$A$28:$A$29),FORECAST(B345,参数说明!$B$29:$B$30,参数说明!$A$29:$A$30)))))))</f>
        <v>97.4054054054054</v>
      </c>
      <c r="D345" s="4">
        <f t="shared" si="11"/>
        <v>25284.8378378378</v>
      </c>
      <c r="E345" s="4">
        <f>IF(D345&lt;'等级-经验对照'!$B$4,0,LOOKUP(D345,'等级-经验对照'!$B$4:$B$103,'等级-经验对照'!$A$4:$A$103))</f>
        <v>95</v>
      </c>
      <c r="F345" s="3" t="str">
        <f t="shared" si="10"/>
        <v/>
      </c>
    </row>
    <row r="346" spans="1:6">
      <c r="A346" s="6">
        <f>参数说明!$B$8+342</f>
        <v>46539</v>
      </c>
      <c r="B346" s="4">
        <v>342</v>
      </c>
      <c r="C346" s="4">
        <f>IF(B346=0,0,IF(B346&lt;=7,FORECAST(B346,参数说明!$B$24:$B$25,参数说明!$A$24:$A$25),IF(B346&lt;=30,FORECAST(B346,参数说明!$B$25:$B$26,参数说明!$A$25:$A$26),IF(B346&lt;=60,FORECAST(B346,参数说明!$B$26:$B$27,参数说明!$A$26:$A$27),IF(B346&lt;=90,FORECAST(B346,参数说明!$B$27:$B$28,参数说明!$A$27:$A$28),IF(B346&lt;=180,FORECAST(B346,参数说明!$B$28:$B$29,参数说明!$A$28:$A$29),FORECAST(B346,参数说明!$B$29:$B$30,参数说明!$A$29:$A$30)))))))</f>
        <v>97.5135135135135</v>
      </c>
      <c r="D346" s="4">
        <f t="shared" si="11"/>
        <v>25382.3513513514</v>
      </c>
      <c r="E346" s="4">
        <f>IF(D346&lt;'等级-经验对照'!$B$4,0,LOOKUP(D346,'等级-经验对照'!$B$4:$B$103,'等级-经验对照'!$A$4:$A$103))</f>
        <v>95</v>
      </c>
      <c r="F346" s="3" t="str">
        <f t="shared" si="10"/>
        <v/>
      </c>
    </row>
    <row r="347" spans="1:6">
      <c r="A347" s="6">
        <f>参数说明!$B$8+343</f>
        <v>46540</v>
      </c>
      <c r="B347" s="4">
        <v>343</v>
      </c>
      <c r="C347" s="4">
        <f>IF(B347=0,0,IF(B347&lt;=7,FORECAST(B347,参数说明!$B$24:$B$25,参数说明!$A$24:$A$25),IF(B347&lt;=30,FORECAST(B347,参数说明!$B$25:$B$26,参数说明!$A$25:$A$26),IF(B347&lt;=60,FORECAST(B347,参数说明!$B$26:$B$27,参数说明!$A$26:$A$27),IF(B347&lt;=90,FORECAST(B347,参数说明!$B$27:$B$28,参数说明!$A$27:$A$28),IF(B347&lt;=180,FORECAST(B347,参数说明!$B$28:$B$29,参数说明!$A$28:$A$29),FORECAST(B347,参数说明!$B$29:$B$30,参数说明!$A$29:$A$30)))))))</f>
        <v>97.6216216216216</v>
      </c>
      <c r="D347" s="4">
        <f t="shared" si="11"/>
        <v>25479.972972973</v>
      </c>
      <c r="E347" s="4">
        <f>IF(D347&lt;'等级-经验对照'!$B$4,0,LOOKUP(D347,'等级-经验对照'!$B$4:$B$103,'等级-经验对照'!$A$4:$A$103))</f>
        <v>95</v>
      </c>
      <c r="F347" s="3" t="str">
        <f t="shared" si="10"/>
        <v/>
      </c>
    </row>
    <row r="348" spans="1:6">
      <c r="A348" s="6">
        <f>参数说明!$B$8+344</f>
        <v>46541</v>
      </c>
      <c r="B348" s="4">
        <v>344</v>
      </c>
      <c r="C348" s="4">
        <f>IF(B348=0,0,IF(B348&lt;=7,FORECAST(B348,参数说明!$B$24:$B$25,参数说明!$A$24:$A$25),IF(B348&lt;=30,FORECAST(B348,参数说明!$B$25:$B$26,参数说明!$A$25:$A$26),IF(B348&lt;=60,FORECAST(B348,参数说明!$B$26:$B$27,参数说明!$A$26:$A$27),IF(B348&lt;=90,FORECAST(B348,参数说明!$B$27:$B$28,参数说明!$A$27:$A$28),IF(B348&lt;=180,FORECAST(B348,参数说明!$B$28:$B$29,参数说明!$A$28:$A$29),FORECAST(B348,参数说明!$B$29:$B$30,参数说明!$A$29:$A$30)))))))</f>
        <v>97.7297297297297</v>
      </c>
      <c r="D348" s="4">
        <f t="shared" si="11"/>
        <v>25577.7027027027</v>
      </c>
      <c r="E348" s="4">
        <f>IF(D348&lt;'等级-经验对照'!$B$4,0,LOOKUP(D348,'等级-经验对照'!$B$4:$B$103,'等级-经验对照'!$A$4:$A$103))</f>
        <v>95</v>
      </c>
      <c r="F348" s="3" t="str">
        <f t="shared" si="10"/>
        <v/>
      </c>
    </row>
    <row r="349" spans="1:6">
      <c r="A349" s="6">
        <f>参数说明!$B$8+345</f>
        <v>46542</v>
      </c>
      <c r="B349" s="4">
        <v>345</v>
      </c>
      <c r="C349" s="4">
        <f>IF(B349=0,0,IF(B349&lt;=7,FORECAST(B349,参数说明!$B$24:$B$25,参数说明!$A$24:$A$25),IF(B349&lt;=30,FORECAST(B349,参数说明!$B$25:$B$26,参数说明!$A$25:$A$26),IF(B349&lt;=60,FORECAST(B349,参数说明!$B$26:$B$27,参数说明!$A$26:$A$27),IF(B349&lt;=90,FORECAST(B349,参数说明!$B$27:$B$28,参数说明!$A$27:$A$28),IF(B349&lt;=180,FORECAST(B349,参数说明!$B$28:$B$29,参数说明!$A$28:$A$29),FORECAST(B349,参数说明!$B$29:$B$30,参数说明!$A$29:$A$30)))))))</f>
        <v>97.8378378378378</v>
      </c>
      <c r="D349" s="4">
        <f t="shared" si="11"/>
        <v>25675.5405405405</v>
      </c>
      <c r="E349" s="4">
        <f>IF(D349&lt;'等级-经验对照'!$B$4,0,LOOKUP(D349,'等级-经验对照'!$B$4:$B$103,'等级-经验对照'!$A$4:$A$103))</f>
        <v>95</v>
      </c>
      <c r="F349" s="3" t="str">
        <f t="shared" si="10"/>
        <v/>
      </c>
    </row>
    <row r="350" spans="1:6">
      <c r="A350" s="6">
        <f>参数说明!$B$8+346</f>
        <v>46543</v>
      </c>
      <c r="B350" s="4">
        <v>346</v>
      </c>
      <c r="C350" s="4">
        <f>IF(B350=0,0,IF(B350&lt;=7,FORECAST(B350,参数说明!$B$24:$B$25,参数说明!$A$24:$A$25),IF(B350&lt;=30,FORECAST(B350,参数说明!$B$25:$B$26,参数说明!$A$25:$A$26),IF(B350&lt;=60,FORECAST(B350,参数说明!$B$26:$B$27,参数说明!$A$26:$A$27),IF(B350&lt;=90,FORECAST(B350,参数说明!$B$27:$B$28,参数说明!$A$27:$A$28),IF(B350&lt;=180,FORECAST(B350,参数说明!$B$28:$B$29,参数说明!$A$28:$A$29),FORECAST(B350,参数说明!$B$29:$B$30,参数说明!$A$29:$A$30)))))))</f>
        <v>97.945945945946</v>
      </c>
      <c r="D350" s="4">
        <f t="shared" si="11"/>
        <v>25773.4864864865</v>
      </c>
      <c r="E350" s="4">
        <f>IF(D350&lt;'等级-经验对照'!$B$4,0,LOOKUP(D350,'等级-经验对照'!$B$4:$B$103,'等级-经验对照'!$A$4:$A$103))</f>
        <v>96</v>
      </c>
      <c r="F350" s="3" t="str">
        <f t="shared" si="10"/>
        <v/>
      </c>
    </row>
    <row r="351" spans="1:6">
      <c r="A351" s="6">
        <f>参数说明!$B$8+347</f>
        <v>46544</v>
      </c>
      <c r="B351" s="4">
        <v>347</v>
      </c>
      <c r="C351" s="4">
        <f>IF(B351=0,0,IF(B351&lt;=7,FORECAST(B351,参数说明!$B$24:$B$25,参数说明!$A$24:$A$25),IF(B351&lt;=30,FORECAST(B351,参数说明!$B$25:$B$26,参数说明!$A$25:$A$26),IF(B351&lt;=60,FORECAST(B351,参数说明!$B$26:$B$27,参数说明!$A$26:$A$27),IF(B351&lt;=90,FORECAST(B351,参数说明!$B$27:$B$28,参数说明!$A$27:$A$28),IF(B351&lt;=180,FORECAST(B351,参数说明!$B$28:$B$29,参数说明!$A$28:$A$29),FORECAST(B351,参数说明!$B$29:$B$30,参数说明!$A$29:$A$30)))))))</f>
        <v>98.0540540540541</v>
      </c>
      <c r="D351" s="4">
        <f t="shared" si="11"/>
        <v>25871.5405405405</v>
      </c>
      <c r="E351" s="4">
        <f>IF(D351&lt;'等级-经验对照'!$B$4,0,LOOKUP(D351,'等级-经验对照'!$B$4:$B$103,'等级-经验对照'!$A$4:$A$103))</f>
        <v>96</v>
      </c>
      <c r="F351" s="3" t="str">
        <f t="shared" si="10"/>
        <v/>
      </c>
    </row>
    <row r="352" spans="1:6">
      <c r="A352" s="6">
        <f>参数说明!$B$8+348</f>
        <v>46545</v>
      </c>
      <c r="B352" s="4">
        <v>348</v>
      </c>
      <c r="C352" s="4">
        <f>IF(B352=0,0,IF(B352&lt;=7,FORECAST(B352,参数说明!$B$24:$B$25,参数说明!$A$24:$A$25),IF(B352&lt;=30,FORECAST(B352,参数说明!$B$25:$B$26,参数说明!$A$25:$A$26),IF(B352&lt;=60,FORECAST(B352,参数说明!$B$26:$B$27,参数说明!$A$26:$A$27),IF(B352&lt;=90,FORECAST(B352,参数说明!$B$27:$B$28,参数说明!$A$27:$A$28),IF(B352&lt;=180,FORECAST(B352,参数说明!$B$28:$B$29,参数说明!$A$28:$A$29),FORECAST(B352,参数说明!$B$29:$B$30,参数说明!$A$29:$A$30)))))))</f>
        <v>98.1621621621622</v>
      </c>
      <c r="D352" s="4">
        <f t="shared" si="11"/>
        <v>25969.7027027027</v>
      </c>
      <c r="E352" s="4">
        <f>IF(D352&lt;'等级-经验对照'!$B$4,0,LOOKUP(D352,'等级-经验对照'!$B$4:$B$103,'等级-经验对照'!$A$4:$A$103))</f>
        <v>96</v>
      </c>
      <c r="F352" s="3" t="str">
        <f t="shared" si="10"/>
        <v/>
      </c>
    </row>
    <row r="353" spans="1:6">
      <c r="A353" s="6">
        <f>参数说明!$B$8+349</f>
        <v>46546</v>
      </c>
      <c r="B353" s="4">
        <v>349</v>
      </c>
      <c r="C353" s="4">
        <f>IF(B353=0,0,IF(B353&lt;=7,FORECAST(B353,参数说明!$B$24:$B$25,参数说明!$A$24:$A$25),IF(B353&lt;=30,FORECAST(B353,参数说明!$B$25:$B$26,参数说明!$A$25:$A$26),IF(B353&lt;=60,FORECAST(B353,参数说明!$B$26:$B$27,参数说明!$A$26:$A$27),IF(B353&lt;=90,FORECAST(B353,参数说明!$B$27:$B$28,参数说明!$A$27:$A$28),IF(B353&lt;=180,FORECAST(B353,参数说明!$B$28:$B$29,参数说明!$A$28:$A$29),FORECAST(B353,参数说明!$B$29:$B$30,参数说明!$A$29:$A$30)))))))</f>
        <v>98.2702702702703</v>
      </c>
      <c r="D353" s="4">
        <f t="shared" si="11"/>
        <v>26067.972972973</v>
      </c>
      <c r="E353" s="4">
        <f>IF(D353&lt;'等级-经验对照'!$B$4,0,LOOKUP(D353,'等级-经验对照'!$B$4:$B$103,'等级-经验对照'!$A$4:$A$103))</f>
        <v>96</v>
      </c>
      <c r="F353" s="3" t="str">
        <f t="shared" si="10"/>
        <v/>
      </c>
    </row>
    <row r="354" spans="1:6">
      <c r="A354" s="6">
        <f>参数说明!$B$8+350</f>
        <v>46547</v>
      </c>
      <c r="B354" s="4">
        <v>350</v>
      </c>
      <c r="C354" s="4">
        <f>IF(B354=0,0,IF(B354&lt;=7,FORECAST(B354,参数说明!$B$24:$B$25,参数说明!$A$24:$A$25),IF(B354&lt;=30,FORECAST(B354,参数说明!$B$25:$B$26,参数说明!$A$25:$A$26),IF(B354&lt;=60,FORECAST(B354,参数说明!$B$26:$B$27,参数说明!$A$26:$A$27),IF(B354&lt;=90,FORECAST(B354,参数说明!$B$27:$B$28,参数说明!$A$27:$A$28),IF(B354&lt;=180,FORECAST(B354,参数说明!$B$28:$B$29,参数说明!$A$28:$A$29),FORECAST(B354,参数说明!$B$29:$B$30,参数说明!$A$29:$A$30)))))))</f>
        <v>98.3783783783784</v>
      </c>
      <c r="D354" s="4">
        <f t="shared" si="11"/>
        <v>26166.3513513514</v>
      </c>
      <c r="E354" s="4">
        <f>IF(D354&lt;'等级-经验对照'!$B$4,0,LOOKUP(D354,'等级-经验对照'!$B$4:$B$103,'等级-经验对照'!$A$4:$A$103))</f>
        <v>96</v>
      </c>
      <c r="F354" s="3" t="str">
        <f t="shared" si="10"/>
        <v/>
      </c>
    </row>
    <row r="355" spans="1:6">
      <c r="A355" s="6">
        <f>参数说明!$B$8+351</f>
        <v>46548</v>
      </c>
      <c r="B355" s="4">
        <v>351</v>
      </c>
      <c r="C355" s="4">
        <f>IF(B355=0,0,IF(B355&lt;=7,FORECAST(B355,参数说明!$B$24:$B$25,参数说明!$A$24:$A$25),IF(B355&lt;=30,FORECAST(B355,参数说明!$B$25:$B$26,参数说明!$A$25:$A$26),IF(B355&lt;=60,FORECAST(B355,参数说明!$B$26:$B$27,参数说明!$A$26:$A$27),IF(B355&lt;=90,FORECAST(B355,参数说明!$B$27:$B$28,参数说明!$A$27:$A$28),IF(B355&lt;=180,FORECAST(B355,参数说明!$B$28:$B$29,参数说明!$A$28:$A$29),FORECAST(B355,参数说明!$B$29:$B$30,参数说明!$A$29:$A$30)))))))</f>
        <v>98.4864864864865</v>
      </c>
      <c r="D355" s="4">
        <f t="shared" si="11"/>
        <v>26264.8378378378</v>
      </c>
      <c r="E355" s="4">
        <f>IF(D355&lt;'等级-经验对照'!$B$4,0,LOOKUP(D355,'等级-经验对照'!$B$4:$B$103,'等级-经验对照'!$A$4:$A$103))</f>
        <v>97</v>
      </c>
      <c r="F355" s="3" t="str">
        <f t="shared" si="10"/>
        <v/>
      </c>
    </row>
    <row r="356" spans="1:6">
      <c r="A356" s="6">
        <f>参数说明!$B$8+352</f>
        <v>46549</v>
      </c>
      <c r="B356" s="4">
        <v>352</v>
      </c>
      <c r="C356" s="4">
        <f>IF(B356=0,0,IF(B356&lt;=7,FORECAST(B356,参数说明!$B$24:$B$25,参数说明!$A$24:$A$25),IF(B356&lt;=30,FORECAST(B356,参数说明!$B$25:$B$26,参数说明!$A$25:$A$26),IF(B356&lt;=60,FORECAST(B356,参数说明!$B$26:$B$27,参数说明!$A$26:$A$27),IF(B356&lt;=90,FORECAST(B356,参数说明!$B$27:$B$28,参数说明!$A$27:$A$28),IF(B356&lt;=180,FORECAST(B356,参数说明!$B$28:$B$29,参数说明!$A$28:$A$29),FORECAST(B356,参数说明!$B$29:$B$30,参数说明!$A$29:$A$30)))))))</f>
        <v>98.5945945945946</v>
      </c>
      <c r="D356" s="4">
        <f t="shared" si="11"/>
        <v>26363.4324324324</v>
      </c>
      <c r="E356" s="4">
        <f>IF(D356&lt;'等级-经验对照'!$B$4,0,LOOKUP(D356,'等级-经验对照'!$B$4:$B$103,'等级-经验对照'!$A$4:$A$103))</f>
        <v>97</v>
      </c>
      <c r="F356" s="3" t="str">
        <f t="shared" si="10"/>
        <v/>
      </c>
    </row>
    <row r="357" spans="1:6">
      <c r="A357" s="6">
        <f>参数说明!$B$8+353</f>
        <v>46550</v>
      </c>
      <c r="B357" s="4">
        <v>353</v>
      </c>
      <c r="C357" s="4">
        <f>IF(B357=0,0,IF(B357&lt;=7,FORECAST(B357,参数说明!$B$24:$B$25,参数说明!$A$24:$A$25),IF(B357&lt;=30,FORECAST(B357,参数说明!$B$25:$B$26,参数说明!$A$25:$A$26),IF(B357&lt;=60,FORECAST(B357,参数说明!$B$26:$B$27,参数说明!$A$26:$A$27),IF(B357&lt;=90,FORECAST(B357,参数说明!$B$27:$B$28,参数说明!$A$27:$A$28),IF(B357&lt;=180,FORECAST(B357,参数说明!$B$28:$B$29,参数说明!$A$28:$A$29),FORECAST(B357,参数说明!$B$29:$B$30,参数说明!$A$29:$A$30)))))))</f>
        <v>98.7027027027027</v>
      </c>
      <c r="D357" s="4">
        <f t="shared" si="11"/>
        <v>26462.1351351351</v>
      </c>
      <c r="E357" s="4">
        <f>IF(D357&lt;'等级-经验对照'!$B$4,0,LOOKUP(D357,'等级-经验对照'!$B$4:$B$103,'等级-经验对照'!$A$4:$A$103))</f>
        <v>97</v>
      </c>
      <c r="F357" s="3" t="str">
        <f t="shared" si="10"/>
        <v/>
      </c>
    </row>
    <row r="358" spans="1:6">
      <c r="A358" s="6">
        <f>参数说明!$B$8+354</f>
        <v>46551</v>
      </c>
      <c r="B358" s="4">
        <v>354</v>
      </c>
      <c r="C358" s="4">
        <f>IF(B358=0,0,IF(B358&lt;=7,FORECAST(B358,参数说明!$B$24:$B$25,参数说明!$A$24:$A$25),IF(B358&lt;=30,FORECAST(B358,参数说明!$B$25:$B$26,参数说明!$A$25:$A$26),IF(B358&lt;=60,FORECAST(B358,参数说明!$B$26:$B$27,参数说明!$A$26:$A$27),IF(B358&lt;=90,FORECAST(B358,参数说明!$B$27:$B$28,参数说明!$A$27:$A$28),IF(B358&lt;=180,FORECAST(B358,参数说明!$B$28:$B$29,参数说明!$A$28:$A$29),FORECAST(B358,参数说明!$B$29:$B$30,参数说明!$A$29:$A$30)))))))</f>
        <v>98.8108108108108</v>
      </c>
      <c r="D358" s="4">
        <f t="shared" si="11"/>
        <v>26560.9459459459</v>
      </c>
      <c r="E358" s="4">
        <f>IF(D358&lt;'等级-经验对照'!$B$4,0,LOOKUP(D358,'等级-经验对照'!$B$4:$B$103,'等级-经验对照'!$A$4:$A$103))</f>
        <v>97</v>
      </c>
      <c r="F358" s="3" t="str">
        <f t="shared" si="10"/>
        <v/>
      </c>
    </row>
    <row r="359" spans="1:6">
      <c r="A359" s="6">
        <f>参数说明!$B$8+355</f>
        <v>46552</v>
      </c>
      <c r="B359" s="4">
        <v>355</v>
      </c>
      <c r="C359" s="4">
        <f>IF(B359=0,0,IF(B359&lt;=7,FORECAST(B359,参数说明!$B$24:$B$25,参数说明!$A$24:$A$25),IF(B359&lt;=30,FORECAST(B359,参数说明!$B$25:$B$26,参数说明!$A$25:$A$26),IF(B359&lt;=60,FORECAST(B359,参数说明!$B$26:$B$27,参数说明!$A$26:$A$27),IF(B359&lt;=90,FORECAST(B359,参数说明!$B$27:$B$28,参数说明!$A$27:$A$28),IF(B359&lt;=180,FORECAST(B359,参数说明!$B$28:$B$29,参数说明!$A$28:$A$29),FORECAST(B359,参数说明!$B$29:$B$30,参数说明!$A$29:$A$30)))))))</f>
        <v>98.9189189189189</v>
      </c>
      <c r="D359" s="4">
        <f t="shared" si="11"/>
        <v>26659.8648648649</v>
      </c>
      <c r="E359" s="4">
        <f>IF(D359&lt;'等级-经验对照'!$B$4,0,LOOKUP(D359,'等级-经验对照'!$B$4:$B$103,'等级-经验对照'!$A$4:$A$103))</f>
        <v>98</v>
      </c>
      <c r="F359" s="3" t="str">
        <f t="shared" si="10"/>
        <v/>
      </c>
    </row>
    <row r="360" spans="1:6">
      <c r="A360" s="6">
        <f>参数说明!$B$8+356</f>
        <v>46553</v>
      </c>
      <c r="B360" s="4">
        <v>356</v>
      </c>
      <c r="C360" s="4">
        <f>IF(B360=0,0,IF(B360&lt;=7,FORECAST(B360,参数说明!$B$24:$B$25,参数说明!$A$24:$A$25),IF(B360&lt;=30,FORECAST(B360,参数说明!$B$25:$B$26,参数说明!$A$25:$A$26),IF(B360&lt;=60,FORECAST(B360,参数说明!$B$26:$B$27,参数说明!$A$26:$A$27),IF(B360&lt;=90,FORECAST(B360,参数说明!$B$27:$B$28,参数说明!$A$27:$A$28),IF(B360&lt;=180,FORECAST(B360,参数说明!$B$28:$B$29,参数说明!$A$28:$A$29),FORECAST(B360,参数说明!$B$29:$B$30,参数说明!$A$29:$A$30)))))))</f>
        <v>99.027027027027</v>
      </c>
      <c r="D360" s="4">
        <f t="shared" si="11"/>
        <v>26758.8918918919</v>
      </c>
      <c r="E360" s="4">
        <f>IF(D360&lt;'等级-经验对照'!$B$4,0,LOOKUP(D360,'等级-经验对照'!$B$4:$B$103,'等级-经验对照'!$A$4:$A$103))</f>
        <v>98</v>
      </c>
      <c r="F360" s="3" t="str">
        <f t="shared" si="10"/>
        <v/>
      </c>
    </row>
    <row r="361" spans="1:6">
      <c r="A361" s="6">
        <f>参数说明!$B$8+357</f>
        <v>46554</v>
      </c>
      <c r="B361" s="4">
        <v>357</v>
      </c>
      <c r="C361" s="4">
        <f>IF(B361=0,0,IF(B361&lt;=7,FORECAST(B361,参数说明!$B$24:$B$25,参数说明!$A$24:$A$25),IF(B361&lt;=30,FORECAST(B361,参数说明!$B$25:$B$26,参数说明!$A$25:$A$26),IF(B361&lt;=60,FORECAST(B361,参数说明!$B$26:$B$27,参数说明!$A$26:$A$27),IF(B361&lt;=90,FORECAST(B361,参数说明!$B$27:$B$28,参数说明!$A$27:$A$28),IF(B361&lt;=180,FORECAST(B361,参数说明!$B$28:$B$29,参数说明!$A$28:$A$29),FORECAST(B361,参数说明!$B$29:$B$30,参数说明!$A$29:$A$30)))))))</f>
        <v>99.1351351351351</v>
      </c>
      <c r="D361" s="4">
        <f t="shared" si="11"/>
        <v>26858.027027027</v>
      </c>
      <c r="E361" s="4">
        <f>IF(D361&lt;'等级-经验对照'!$B$4,0,LOOKUP(D361,'等级-经验对照'!$B$4:$B$103,'等级-经验对照'!$A$4:$A$103))</f>
        <v>98</v>
      </c>
      <c r="F361" s="3" t="str">
        <f t="shared" si="10"/>
        <v/>
      </c>
    </row>
    <row r="362" spans="1:6">
      <c r="A362" s="6">
        <f>参数说明!$B$8+358</f>
        <v>46555</v>
      </c>
      <c r="B362" s="4">
        <v>358</v>
      </c>
      <c r="C362" s="4">
        <f>IF(B362=0,0,IF(B362&lt;=7,FORECAST(B362,参数说明!$B$24:$B$25,参数说明!$A$24:$A$25),IF(B362&lt;=30,FORECAST(B362,参数说明!$B$25:$B$26,参数说明!$A$25:$A$26),IF(B362&lt;=60,FORECAST(B362,参数说明!$B$26:$B$27,参数说明!$A$26:$A$27),IF(B362&lt;=90,FORECAST(B362,参数说明!$B$27:$B$28,参数说明!$A$27:$A$28),IF(B362&lt;=180,FORECAST(B362,参数说明!$B$28:$B$29,参数说明!$A$28:$A$29),FORECAST(B362,参数说明!$B$29:$B$30,参数说明!$A$29:$A$30)))))))</f>
        <v>99.2432432432432</v>
      </c>
      <c r="D362" s="4">
        <f t="shared" si="11"/>
        <v>26957.2702702703</v>
      </c>
      <c r="E362" s="4">
        <f>IF(D362&lt;'等级-经验对照'!$B$4,0,LOOKUP(D362,'等级-经验对照'!$B$4:$B$103,'等级-经验对照'!$A$4:$A$103))</f>
        <v>98</v>
      </c>
      <c r="F362" s="3" t="str">
        <f t="shared" si="10"/>
        <v/>
      </c>
    </row>
    <row r="363" spans="1:6">
      <c r="A363" s="6">
        <f>参数说明!$B$8+359</f>
        <v>46556</v>
      </c>
      <c r="B363" s="4">
        <v>359</v>
      </c>
      <c r="C363" s="4">
        <f>IF(B363=0,0,IF(B363&lt;=7,FORECAST(B363,参数说明!$B$24:$B$25,参数说明!$A$24:$A$25),IF(B363&lt;=30,FORECAST(B363,参数说明!$B$25:$B$26,参数说明!$A$25:$A$26),IF(B363&lt;=60,FORECAST(B363,参数说明!$B$26:$B$27,参数说明!$A$26:$A$27),IF(B363&lt;=90,FORECAST(B363,参数说明!$B$27:$B$28,参数说明!$A$27:$A$28),IF(B363&lt;=180,FORECAST(B363,参数说明!$B$28:$B$29,参数说明!$A$28:$A$29),FORECAST(B363,参数说明!$B$29:$B$30,参数说明!$A$29:$A$30)))))))</f>
        <v>99.3513513513514</v>
      </c>
      <c r="D363" s="4">
        <f t="shared" si="11"/>
        <v>27056.6216216216</v>
      </c>
      <c r="E363" s="4">
        <f>IF(D363&lt;'等级-经验对照'!$B$4,0,LOOKUP(D363,'等级-经验对照'!$B$4:$B$103,'等级-经验对照'!$A$4:$A$103))</f>
        <v>98</v>
      </c>
      <c r="F363" s="3" t="str">
        <f t="shared" si="10"/>
        <v/>
      </c>
    </row>
    <row r="364" spans="1:6">
      <c r="A364" s="6">
        <f>参数说明!$B$8+360</f>
        <v>46557</v>
      </c>
      <c r="B364" s="4">
        <v>360</v>
      </c>
      <c r="C364" s="4">
        <f>IF(B364=0,0,IF(B364&lt;=7,FORECAST(B364,参数说明!$B$24:$B$25,参数说明!$A$24:$A$25),IF(B364&lt;=30,FORECAST(B364,参数说明!$B$25:$B$26,参数说明!$A$25:$A$26),IF(B364&lt;=60,FORECAST(B364,参数说明!$B$26:$B$27,参数说明!$A$26:$A$27),IF(B364&lt;=90,FORECAST(B364,参数说明!$B$27:$B$28,参数说明!$A$27:$A$28),IF(B364&lt;=180,FORECAST(B364,参数说明!$B$28:$B$29,参数说明!$A$28:$A$29),FORECAST(B364,参数说明!$B$29:$B$30,参数说明!$A$29:$A$30)))))))</f>
        <v>99.4594594594595</v>
      </c>
      <c r="D364" s="4">
        <f t="shared" si="11"/>
        <v>27156.0810810811</v>
      </c>
      <c r="E364" s="4">
        <f>IF(D364&lt;'等级-经验对照'!$B$4,0,LOOKUP(D364,'等级-经验对照'!$B$4:$B$103,'等级-经验对照'!$A$4:$A$103))</f>
        <v>99</v>
      </c>
      <c r="F364" s="3" t="str">
        <f t="shared" si="10"/>
        <v/>
      </c>
    </row>
    <row r="365" spans="1:6">
      <c r="A365" s="6">
        <f>参数说明!$B$8+361</f>
        <v>46558</v>
      </c>
      <c r="B365" s="4">
        <v>361</v>
      </c>
      <c r="C365" s="4">
        <f>IF(B365=0,0,IF(B365&lt;=7,FORECAST(B365,参数说明!$B$24:$B$25,参数说明!$A$24:$A$25),IF(B365&lt;=30,FORECAST(B365,参数说明!$B$25:$B$26,参数说明!$A$25:$A$26),IF(B365&lt;=60,FORECAST(B365,参数说明!$B$26:$B$27,参数说明!$A$26:$A$27),IF(B365&lt;=90,FORECAST(B365,参数说明!$B$27:$B$28,参数说明!$A$27:$A$28),IF(B365&lt;=180,FORECAST(B365,参数说明!$B$28:$B$29,参数说明!$A$28:$A$29),FORECAST(B365,参数说明!$B$29:$B$30,参数说明!$A$29:$A$30)))))))</f>
        <v>99.5675675675676</v>
      </c>
      <c r="D365" s="4">
        <f t="shared" si="11"/>
        <v>27255.6486486487</v>
      </c>
      <c r="E365" s="4">
        <f>IF(D365&lt;'等级-经验对照'!$B$4,0,LOOKUP(D365,'等级-经验对照'!$B$4:$B$103,'等级-经验对照'!$A$4:$A$103))</f>
        <v>99</v>
      </c>
      <c r="F365" s="3" t="str">
        <f t="shared" si="10"/>
        <v/>
      </c>
    </row>
    <row r="366" spans="1:6">
      <c r="A366" s="6">
        <f>参数说明!$B$8+362</f>
        <v>46559</v>
      </c>
      <c r="B366" s="4">
        <v>362</v>
      </c>
      <c r="C366" s="4">
        <f>IF(B366=0,0,IF(B366&lt;=7,FORECAST(B366,参数说明!$B$24:$B$25,参数说明!$A$24:$A$25),IF(B366&lt;=30,FORECAST(B366,参数说明!$B$25:$B$26,参数说明!$A$25:$A$26),IF(B366&lt;=60,FORECAST(B366,参数说明!$B$26:$B$27,参数说明!$A$26:$A$27),IF(B366&lt;=90,FORECAST(B366,参数说明!$B$27:$B$28,参数说明!$A$27:$A$28),IF(B366&lt;=180,FORECAST(B366,参数说明!$B$28:$B$29,参数说明!$A$28:$A$29),FORECAST(B366,参数说明!$B$29:$B$30,参数说明!$A$29:$A$30)))))))</f>
        <v>99.6756756756757</v>
      </c>
      <c r="D366" s="4">
        <f t="shared" si="11"/>
        <v>27355.3243243243</v>
      </c>
      <c r="E366" s="4">
        <f>IF(D366&lt;'等级-经验对照'!$B$4,0,LOOKUP(D366,'等级-经验对照'!$B$4:$B$103,'等级-经验对照'!$A$4:$A$103))</f>
        <v>99</v>
      </c>
      <c r="F366" s="3" t="str">
        <f t="shared" si="10"/>
        <v/>
      </c>
    </row>
    <row r="367" spans="1:6">
      <c r="A367" s="6">
        <f>参数说明!$B$8+363</f>
        <v>46560</v>
      </c>
      <c r="B367" s="4">
        <v>363</v>
      </c>
      <c r="C367" s="4">
        <f>IF(B367=0,0,IF(B367&lt;=7,FORECAST(B367,参数说明!$B$24:$B$25,参数说明!$A$24:$A$25),IF(B367&lt;=30,FORECAST(B367,参数说明!$B$25:$B$26,参数说明!$A$25:$A$26),IF(B367&lt;=60,FORECAST(B367,参数说明!$B$26:$B$27,参数说明!$A$26:$A$27),IF(B367&lt;=90,FORECAST(B367,参数说明!$B$27:$B$28,参数说明!$A$27:$A$28),IF(B367&lt;=180,FORECAST(B367,参数说明!$B$28:$B$29,参数说明!$A$28:$A$29),FORECAST(B367,参数说明!$B$29:$B$30,参数说明!$A$29:$A$30)))))))</f>
        <v>99.7837837837838</v>
      </c>
      <c r="D367" s="4">
        <f t="shared" si="11"/>
        <v>27455.1081081081</v>
      </c>
      <c r="E367" s="4">
        <f>IF(D367&lt;'等级-经验对照'!$B$4,0,LOOKUP(D367,'等级-经验对照'!$B$4:$B$103,'等级-经验对照'!$A$4:$A$103))</f>
        <v>99</v>
      </c>
      <c r="F367" s="3" t="str">
        <f t="shared" si="10"/>
        <v/>
      </c>
    </row>
    <row r="368" spans="1:6">
      <c r="A368" s="6">
        <f>参数说明!$B$8+364</f>
        <v>46561</v>
      </c>
      <c r="B368" s="4">
        <v>364</v>
      </c>
      <c r="C368" s="4">
        <f>IF(B368=0,0,IF(B368&lt;=7,FORECAST(B368,参数说明!$B$24:$B$25,参数说明!$A$24:$A$25),IF(B368&lt;=30,FORECAST(B368,参数说明!$B$25:$B$26,参数说明!$A$25:$A$26),IF(B368&lt;=60,FORECAST(B368,参数说明!$B$26:$B$27,参数说明!$A$26:$A$27),IF(B368&lt;=90,FORECAST(B368,参数说明!$B$27:$B$28,参数说明!$A$27:$A$28),IF(B368&lt;=180,FORECAST(B368,参数说明!$B$28:$B$29,参数说明!$A$28:$A$29),FORECAST(B368,参数说明!$B$29:$B$30,参数说明!$A$29:$A$30)))))))</f>
        <v>99.8918918918919</v>
      </c>
      <c r="D368" s="4">
        <f t="shared" si="11"/>
        <v>27555</v>
      </c>
      <c r="E368" s="4">
        <f>IF(D368&lt;'等级-经验对照'!$B$4,0,LOOKUP(D368,'等级-经验对照'!$B$4:$B$103,'等级-经验对照'!$A$4:$A$103))</f>
        <v>99</v>
      </c>
      <c r="F368" s="3" t="str">
        <f t="shared" si="10"/>
        <v/>
      </c>
    </row>
    <row r="369" spans="1:6">
      <c r="A369" s="6">
        <f>参数说明!$B$8+365</f>
        <v>46562</v>
      </c>
      <c r="B369" s="4">
        <v>365</v>
      </c>
      <c r="C369" s="4">
        <f>IF(B369=0,0,IF(B369&lt;=7,FORECAST(B369,参数说明!$B$24:$B$25,参数说明!$A$24:$A$25),IF(B369&lt;=30,FORECAST(B369,参数说明!$B$25:$B$26,参数说明!$A$25:$A$26),IF(B369&lt;=60,FORECAST(B369,参数说明!$B$26:$B$27,参数说明!$A$26:$A$27),IF(B369&lt;=90,FORECAST(B369,参数说明!$B$27:$B$28,参数说明!$A$27:$A$28),IF(B369&lt;=180,FORECAST(B369,参数说明!$B$28:$B$29,参数说明!$A$28:$A$29),FORECAST(B369,参数说明!$B$29:$B$30,参数说明!$A$29:$A$30)))))))</f>
        <v>100</v>
      </c>
      <c r="D369" s="4">
        <f t="shared" si="11"/>
        <v>27655</v>
      </c>
      <c r="E369" s="4">
        <f>IF(D369&lt;'等级-经验对照'!$B$4,0,LOOKUP(D369,'等级-经验对照'!$B$4:$B$103,'等级-经验对照'!$A$4:$A$103))</f>
        <v>100</v>
      </c>
      <c r="F369" s="3" t="str">
        <f t="shared" si="10"/>
        <v>D365 / Lv100 / 27655 XP</v>
      </c>
    </row>
  </sheetData>
  <mergeCells count="1">
    <mergeCell ref="A1:F1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"/>
  <sheetViews>
    <sheetView showGridLines="0" workbookViewId="0">
      <selection activeCell="A1" sqref="A1:D1"/>
    </sheetView>
  </sheetViews>
  <sheetFormatPr defaultColWidth="9" defaultRowHeight="16.8" outlineLevelCol="3"/>
  <cols>
    <col min="1" max="2" width="18" customWidth="1"/>
    <col min="3" max="3" width="38" customWidth="1"/>
    <col min="4" max="4" width="16" customWidth="1"/>
  </cols>
  <sheetData>
    <row r="1" ht="30" customHeight="1" spans="1:1">
      <c r="A1" s="1" t="s">
        <v>25</v>
      </c>
    </row>
    <row r="3" spans="1:2">
      <c r="A3" s="2" t="s">
        <v>26</v>
      </c>
      <c r="B3" s="2" t="s">
        <v>27</v>
      </c>
    </row>
    <row r="4" spans="1:2">
      <c r="A4" s="3" t="s">
        <v>28</v>
      </c>
      <c r="B4" s="4">
        <v>100</v>
      </c>
    </row>
    <row r="5" spans="1:2">
      <c r="A5" s="3" t="s">
        <v>29</v>
      </c>
      <c r="B5" s="4">
        <v>10</v>
      </c>
    </row>
    <row r="6" spans="1:2">
      <c r="A6" s="3" t="s">
        <v>30</v>
      </c>
      <c r="B6" s="5">
        <v>3</v>
      </c>
    </row>
    <row r="7" spans="1:2">
      <c r="A7" s="3" t="s">
        <v>31</v>
      </c>
      <c r="B7" s="4">
        <f>B5*B6</f>
        <v>30</v>
      </c>
    </row>
    <row r="8" spans="1:2">
      <c r="A8" s="3" t="s">
        <v>5</v>
      </c>
      <c r="B8" s="6">
        <v>46197</v>
      </c>
    </row>
    <row r="9" spans="1:2">
      <c r="A9" s="3" t="s">
        <v>32</v>
      </c>
      <c r="B9" s="4">
        <v>365</v>
      </c>
    </row>
    <row r="12" spans="1:3">
      <c r="A12" s="7" t="s">
        <v>33</v>
      </c>
      <c r="B12" s="7" t="s">
        <v>2</v>
      </c>
      <c r="C12" s="2" t="s">
        <v>34</v>
      </c>
    </row>
    <row r="13" spans="1:3">
      <c r="A13" s="4">
        <v>0</v>
      </c>
      <c r="B13" s="4">
        <v>0</v>
      </c>
      <c r="C13" s="3" t="s">
        <v>35</v>
      </c>
    </row>
    <row r="14" spans="1:3">
      <c r="A14" s="4">
        <v>3</v>
      </c>
      <c r="B14" s="4">
        <v>30</v>
      </c>
      <c r="C14" s="3" t="s">
        <v>36</v>
      </c>
    </row>
    <row r="15" spans="1:3">
      <c r="A15" s="4">
        <v>10</v>
      </c>
      <c r="B15" s="4">
        <v>225</v>
      </c>
      <c r="C15" s="3" t="s">
        <v>37</v>
      </c>
    </row>
    <row r="16" spans="1:3">
      <c r="A16" s="4">
        <v>25</v>
      </c>
      <c r="B16" s="4">
        <v>1150</v>
      </c>
      <c r="C16" s="3" t="s">
        <v>38</v>
      </c>
    </row>
    <row r="17" spans="1:3">
      <c r="A17" s="4">
        <v>37</v>
      </c>
      <c r="B17" s="4">
        <v>2650</v>
      </c>
      <c r="C17" s="3" t="s">
        <v>39</v>
      </c>
    </row>
    <row r="18" spans="1:3">
      <c r="A18" s="4">
        <v>45</v>
      </c>
      <c r="B18" s="4">
        <v>4450</v>
      </c>
      <c r="C18" s="3" t="s">
        <v>40</v>
      </c>
    </row>
    <row r="19" spans="1:3">
      <c r="A19" s="4">
        <v>65</v>
      </c>
      <c r="B19" s="4">
        <v>10995</v>
      </c>
      <c r="C19" s="3" t="s">
        <v>41</v>
      </c>
    </row>
    <row r="20" spans="1:3">
      <c r="A20" s="4">
        <v>100</v>
      </c>
      <c r="B20" s="4">
        <v>27600</v>
      </c>
      <c r="C20" s="3" t="s">
        <v>42</v>
      </c>
    </row>
    <row r="23" ht="17" spans="1:3">
      <c r="A23" s="2" t="s">
        <v>43</v>
      </c>
      <c r="B23" s="2" t="s">
        <v>7</v>
      </c>
      <c r="C23" s="8" t="s">
        <v>34</v>
      </c>
    </row>
    <row r="24" ht="17" spans="1:3">
      <c r="A24" s="9">
        <v>1</v>
      </c>
      <c r="B24" s="4">
        <v>30</v>
      </c>
      <c r="C24" s="10" t="s">
        <v>44</v>
      </c>
    </row>
    <row r="25" ht="17" spans="1:3">
      <c r="A25" s="9">
        <v>7</v>
      </c>
      <c r="B25" s="4">
        <v>35</v>
      </c>
      <c r="C25" s="10" t="s">
        <v>45</v>
      </c>
    </row>
    <row r="26" ht="17" spans="1:3">
      <c r="A26" s="9">
        <v>30</v>
      </c>
      <c r="B26" s="4">
        <v>45</v>
      </c>
      <c r="C26" s="10" t="s">
        <v>46</v>
      </c>
    </row>
    <row r="27" ht="17" spans="1:3">
      <c r="A27" s="9">
        <v>60</v>
      </c>
      <c r="B27" s="4">
        <v>55</v>
      </c>
      <c r="C27" s="10" t="s">
        <v>47</v>
      </c>
    </row>
    <row r="28" ht="17" spans="1:3">
      <c r="A28" s="9">
        <v>90</v>
      </c>
      <c r="B28" s="4">
        <v>65</v>
      </c>
      <c r="C28" s="10" t="s">
        <v>48</v>
      </c>
    </row>
    <row r="29" ht="17" spans="1:3">
      <c r="A29" s="9">
        <v>180</v>
      </c>
      <c r="B29" s="4">
        <v>80</v>
      </c>
      <c r="C29" s="10" t="s">
        <v>49</v>
      </c>
    </row>
    <row r="30" ht="17" spans="1:3">
      <c r="A30" s="9">
        <v>365</v>
      </c>
      <c r="B30" s="4">
        <v>100</v>
      </c>
      <c r="C30" s="10" t="s">
        <v>50</v>
      </c>
    </row>
    <row r="33" spans="1:4">
      <c r="A33" s="11" t="s">
        <v>34</v>
      </c>
      <c r="B33" s="12"/>
      <c r="C33" s="12"/>
      <c r="D33" s="13"/>
    </row>
    <row r="34" ht="17" spans="1:4">
      <c r="A34" s="14" t="s">
        <v>51</v>
      </c>
      <c r="B34" s="14" t="s">
        <v>52</v>
      </c>
      <c r="C34" s="12"/>
      <c r="D34" s="13"/>
    </row>
    <row r="35" ht="17" spans="1:4">
      <c r="A35" s="14" t="s">
        <v>53</v>
      </c>
      <c r="B35" s="14" t="s">
        <v>54</v>
      </c>
      <c r="C35" s="12"/>
      <c r="D35" s="13"/>
    </row>
    <row r="36" ht="17" spans="1:4">
      <c r="A36" s="14" t="s">
        <v>55</v>
      </c>
      <c r="B36" s="14" t="s">
        <v>56</v>
      </c>
      <c r="C36" s="12"/>
      <c r="D36" s="13"/>
    </row>
    <row r="37" ht="17" spans="1:4">
      <c r="A37" s="14" t="s">
        <v>57</v>
      </c>
      <c r="B37" s="14" t="s">
        <v>58</v>
      </c>
      <c r="C37" s="12"/>
      <c r="D37" s="13"/>
    </row>
    <row r="38" ht="17" spans="1:4">
      <c r="A38" s="14" t="s">
        <v>59</v>
      </c>
      <c r="B38" s="14" t="s">
        <v>60</v>
      </c>
      <c r="C38" s="12"/>
      <c r="D38" s="13"/>
    </row>
    <row r="39" ht="17" spans="1:4">
      <c r="A39" s="14" t="s">
        <v>61</v>
      </c>
      <c r="B39" s="14" t="s">
        <v>62</v>
      </c>
      <c r="C39" s="12"/>
      <c r="D39" s="13"/>
    </row>
  </sheetData>
  <mergeCells count="8">
    <mergeCell ref="A1:D1"/>
    <mergeCell ref="A33:D33"/>
    <mergeCell ref="B34:D34"/>
    <mergeCell ref="B35:D35"/>
    <mergeCell ref="B36:D36"/>
    <mergeCell ref="B37:D37"/>
    <mergeCell ref="B38:D38"/>
    <mergeCell ref="B39:D3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等级-经验对照</vt:lpstr>
      <vt:lpstr>日期-等级经验曲线</vt:lpstr>
      <vt:lpstr>参数说明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皮卡丘的弟弟</cp:lastModifiedBy>
  <dcterms:created xsi:type="dcterms:W3CDTF">2026-06-24T18:25:00Z</dcterms:created>
  <dcterms:modified xsi:type="dcterms:W3CDTF">2026-06-25T14:54:38Z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04E15AF3EA0B5D4DAED03C6AC46A6D9B_42</vt:lpwstr>
  </property>
  <property fmtid="{D5CDD505-2E9C-101B-9397-08002B2CF9AE}" pid="3" name="KSOProductBuildVer">
    <vt:lpwstr>2052-7.3.1.8967</vt:lpwstr>
  </property>
</Properties>
</file>