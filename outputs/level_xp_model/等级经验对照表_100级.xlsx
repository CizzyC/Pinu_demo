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def7aea94748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等级经验对照表" sheetId="1" r:id="R92a92619e2144586"/>
    <x:sheet xmlns:r="http://schemas.openxmlformats.org/officeDocument/2006/relationships" name="参数说明" sheetId="2" r:id="R9210901ad32343a7"/>
    <x:sheet xmlns:r="http://schemas.openxmlformats.org/officeDocument/2006/relationships" name="留存节奏" sheetId="3" r:id="R36d7f9b0fe1e4b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"/>
    <x:numFmt numFmtId="202" formatCode="0.0%"/>
  </x:numFmts>
  <x:fonts count="5">
    <x:font>
      <x:sz val="11"/>
      <x:name val="Carlito"/>
    </x:font>
    <x:font>
      <x:b/>
      <x:sz val="11"/>
      <x:color rgb="FF111827"/>
      <x:name val="Arial"/>
    </x:font>
    <x:font>
      <x:sz val="11"/>
      <x:name val="Arial"/>
    </x:font>
    <x:font>
      <x:b/>
      <x:sz val="16"/>
      <x:color rgb="FF111827"/>
      <x:name val="Arial"/>
    </x:font>
    <x:font>
      <x:b/>
      <x:sz val="11"/>
      <x:color rgb="FF111827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>
      <x:right style="thin">
        <x:color rgb="FFEEF2F7"/>
      </x:right>
      <x:bottom style="thin">
        <x:color rgb="FFE5E7EB"/>
      </x:bottom>
    </x:border>
    <x:border>
      <x:left style="thin">
        <x:color rgb="FFEEF2F7"/>
      </x:left>
      <x:right style="thin">
        <x:color rgb="FFEEF2F7"/>
      </x:right>
      <x:bottom style="thin">
        <x:color rgb="FFE5E7EB"/>
      </x:bottom>
    </x:border>
    <x:border>
      <x:left style="thin">
        <x:color rgb="FFEEF2F7"/>
      </x:left>
      <x:bottom style="thin">
        <x:color rgb="FFE5E7EB"/>
      </x:bottom>
    </x:border>
    <x:border>
      <x:right style="thin">
        <x:color rgb="FFEEF2F7"/>
      </x:right>
      <x:top style="thin">
        <x:color rgb="FFE5E7EB"/>
      </x:top>
      <x:bottom style="thin">
        <x:color rgb="FFE5E7EB"/>
      </x:bottom>
    </x:border>
    <x:border>
      <x:left style="thin">
        <x:color rgb="FFEEF2F7"/>
      </x:left>
      <x:right style="thin">
        <x:color rgb="FFEEF2F7"/>
      </x:right>
      <x:top style="thin">
        <x:color rgb="FFE5E7EB"/>
      </x:top>
      <x:bottom style="thin">
        <x:color rgb="FFE5E7EB"/>
      </x:bottom>
    </x:border>
    <x:border>
      <x:left style="thin">
        <x:color rgb="FFEEF2F7"/>
      </x:left>
      <x:top style="thin">
        <x:color rgb="FFE5E7EB"/>
      </x:top>
      <x:bottom style="thin">
        <x:color rgb="FFE5E7EB"/>
      </x:bottom>
    </x:border>
    <x:border>
      <x:right style="thin">
        <x:color rgb="FFEEF2F7"/>
      </x:right>
      <x:top style="thin">
        <x:color rgb="FFE5E7EB"/>
      </x:top>
      <x:bottom style="thin">
        <x:color rgb="FFD1D5DB"/>
      </x:bottom>
    </x:border>
    <x:border>
      <x:left style="thin">
        <x:color rgb="FFEEF2F7"/>
      </x:left>
      <x:right style="thin">
        <x:color rgb="FFEEF2F7"/>
      </x:right>
      <x:top style="thin">
        <x:color rgb="FFE5E7EB"/>
      </x:top>
      <x:bottom style="thin">
        <x:color rgb="FFD1D5DB"/>
      </x:bottom>
    </x:border>
    <x:border>
      <x:left style="thin">
        <x:color rgb="FFEEF2F7"/>
      </x:left>
      <x:top style="thin">
        <x:color rgb="FFE5E7E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top style="thin">
        <x:color rgb="FFD1D5DB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8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right"/>
    </x:xf>
    <x:xf numFmtId="0" fontId="1" borderId="1" xfId="0" applyNumberFormat="1" applyFont="1" applyFill="0" applyBorder="1" applyAlignment="1">
      <x:alignment horizontal="center"/>
    </x:xf>
    <x:xf numFmtId="0" fontId="1" borderId="2" xfId="0" applyNumberFormat="1" applyFont="1" applyFill="0" applyBorder="1" applyAlignment="1">
      <x:alignment horizontal="center"/>
    </x:xf>
    <x:xf numFmtId="0" fontId="1" borderId="3" xfId="0" applyNumberFormat="1" applyFont="1" applyFill="0" applyBorder="1" applyAlignment="1">
      <x:alignment horizontal="center"/>
    </x:xf>
    <x:xf numFmtId="0" fontId="2" fillId="0" borderId="4" xfId="0" applyNumberFormat="1" applyFont="1" applyFill="1" applyBorder="1" applyAlignment="1">
      <x:alignment horizontal="center"/>
    </x:xf>
    <x:xf numFmtId="0" fontId="2" fillId="0" borderId="5" xfId="0" applyNumberFormat="1" applyFont="1" applyFill="1" applyBorder="1" applyAlignment="1">
      <x:alignment horizontal="right"/>
    </x:xf>
    <x:xf numFmtId="0" fontId="2" fillId="0" borderId="6" xfId="0" applyNumberFormat="1" applyFont="1" applyFill="1" applyBorder="1" applyAlignment="1">
      <x:alignment horizontal="right"/>
    </x:xf>
    <x:xf numFmtId="0" fontId="2" fillId="0" borderId="7" xfId="0" applyNumberFormat="1" applyFont="1" applyFill="1" applyBorder="1" applyAlignment="1">
      <x:alignment horizontal="center"/>
    </x:xf>
    <x:xf numFmtId="0" fontId="2" fillId="0" borderId="8" xfId="0" applyNumberFormat="1" applyFont="1" applyFill="1" applyBorder="1" applyAlignment="1">
      <x:alignment horizontal="right"/>
    </x:xf>
    <x:xf numFmtId="0" fontId="2" fillId="0" borderId="9" xfId="0" applyNumberFormat="1" applyFont="1" applyFill="1" applyBorder="1" applyAlignment="1">
      <x:alignment horizontal="right"/>
    </x:xf>
    <x:xf numFmtId="200" fontId="2" fillId="0" borderId="5" xfId="0" applyNumberFormat="1" applyFont="1" applyFill="1" applyBorder="1" applyAlignment="1">
      <x:alignment horizontal="right"/>
    </x:xf>
    <x:xf numFmtId="200" fontId="2" fillId="0" borderId="8" xfId="0" applyNumberFormat="1" applyFont="1" applyFill="1" applyBorder="1" applyAlignment="1">
      <x:alignment horizontal="right"/>
    </x:xf>
    <x:xf numFmtId="201" fontId="2" fillId="0" borderId="5" xfId="0" applyNumberFormat="1" applyFont="1" applyFill="1" applyBorder="1" applyAlignment="1">
      <x:alignment horizontal="right"/>
    </x:xf>
    <x:xf numFmtId="201" fontId="2" fillId="0" borderId="8" xfId="0" applyNumberFormat="1" applyFont="1" applyFill="1" applyBorder="1" applyAlignment="1">
      <x:alignment horizontal="right"/>
    </x:xf>
    <x:xf numFmtId="201" fontId="2" fillId="0" borderId="6" xfId="0" applyNumberFormat="1" applyFont="1" applyFill="1" applyBorder="1" applyAlignment="1">
      <x:alignment horizontal="right"/>
    </x:xf>
    <x:xf numFmtId="201" fontId="2" fillId="0" borderId="9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10" xfId="0" applyNumberFormat="1" applyFont="1" applyFill="1" applyBorder="1"/>
    <x:xf numFmtId="0" fontId="0" borderId="10" xfId="0" applyNumberFormat="1" applyFont="1" applyFill="0" applyBorder="1"/>
    <x:xf numFmtId="0" fontId="4" borderId="10" xfId="0" applyNumberFormat="1" applyFont="1" applyFill="0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borderId="11" xfId="0" applyNumberFormat="1" applyFont="1" applyFill="0" applyBorder="1"/>
    <x:xf numFmtId="0" fontId="4" borderId="11" xfId="0" applyNumberFormat="1" applyFont="1" applyFill="0" applyBorder="1"/>
    <x:xf numFmtId="0" fontId="2" fillId="0" borderId="0" xfId="0" applyNumberFormat="1" applyFont="1" applyFill="1" applyBorder="1"/>
    <x:xf numFmtId="200" fontId="0" fillId="0" borderId="10" xfId="0" applyNumberFormat="1" applyFont="1" applyFill="1" applyBorder="1"/>
    <x:xf numFmtId="201" fontId="0" fillId="0" borderId="10" xfId="0" applyNumberFormat="1" applyFont="1" applyFill="1" applyBorder="1"/>
    <x:xf numFmtId="0" fontId="1" borderId="10" xfId="0" applyNumberFormat="1" applyFont="1" applyFill="0" applyBorder="1"/>
    <x:xf numFmtId="202" fontId="0" fillId="0" borderId="1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bc655760d046a0" /><Relationship Type="http://schemas.openxmlformats.org/officeDocument/2006/relationships/theme" Target="/xl/theme/theme1.xml" Id="R44b7b397b1724e6a" /><Relationship Type="http://schemas.openxmlformats.org/officeDocument/2006/relationships/sharedStrings" Target="/xl/sharedStrings.xml" Id="R70fd1a238b1945f3" /><Relationship Type="http://schemas.openxmlformats.org/officeDocument/2006/relationships/worksheet" Target="/xl/worksheets/sheet1.xml" Id="R92a92619e2144586" /><Relationship Type="http://schemas.openxmlformats.org/officeDocument/2006/relationships/worksheet" Target="/xl/worksheets/sheet2.xml" Id="R9210901ad32343a7" /><Relationship Type="http://schemas.openxmlformats.org/officeDocument/2006/relationships/worksheet" Target="/xl/worksheets/sheet3.xml" Id="R36d7f9b0fe1e4b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5" hidden="0" customWidth="1"/>
    <x:col min="4" max="4" width="16" hidden="0" customWidth="1"/>
    <x:col min="5" max="5" width="17" hidden="0" customWidth="1"/>
    <x:col min="6" max="6" width="17" hidden="0" customWidth="1"/>
  </x:cols>
  <x:sheetData>
    <x:row r="1" ht="28" customHeight="1">
      <x:c r="A1" s="8" t="str">
        <x:v>等级</x:v>
      </x:c>
      <x:c r="B1" s="9" t="str">
        <x:v>累计 XP</x:v>
      </x:c>
      <x:c r="C1" s="9" t="str">
        <x:v>升级所需 XP</x:v>
      </x:c>
      <x:c r="D1" s="9" t="str">
        <x:v>约学习 lesson</x:v>
      </x:c>
      <x:c r="E1" s="9" t="str">
        <x:v>普通用户约天数</x:v>
      </x:c>
      <x:c r="F1" s="10" t="str">
        <x:v>深度用户约天数</x:v>
      </x:c>
    </x:row>
    <x:row r="2">
      <x:c r="A2" s="11" t="n">
        <x:v>0</x:v>
      </x:c>
      <x:c r="B2" s="17" t="n">
        <x:v>0</x:v>
      </x:c>
      <x:c r="C2" s="17" t="n">
        <x:v>10</x:v>
      </x:c>
      <x:c r="D2" s="19" t="n">
        <x:f>B2/'参数说明'!$B$4</x:f>
        <x:v>0</x:v>
      </x:c>
      <x:c r="E2" s="19" t="n">
        <x:f>D2/'参数说明'!$B$5</x:f>
        <x:v>0</x:v>
      </x:c>
      <x:c r="F2" s="21" t="n">
        <x:f>D2/'参数说明'!$B$6</x:f>
        <x:v>0</x:v>
      </x:c>
    </x:row>
    <x:row r="3">
      <x:c r="A3" s="11" t="n">
        <x:v>1</x:v>
      </x:c>
      <x:c r="B3" s="17" t="n">
        <x:v>10</x:v>
      </x:c>
      <x:c r="C3" s="17" t="n">
        <x:v>10</x:v>
      </x:c>
      <x:c r="D3" s="19" t="n">
        <x:f>B3/'参数说明'!$B$4</x:f>
        <x:v>1</x:v>
      </x:c>
      <x:c r="E3" s="19" t="n">
        <x:f>D3/'参数说明'!$B$5</x:f>
        <x:v>0.3333333333333333</x:v>
      </x:c>
      <x:c r="F3" s="21" t="n">
        <x:f>D3/'参数说明'!$B$6</x:f>
        <x:v>0.16666666666666666</x:v>
      </x:c>
    </x:row>
    <x:row r="4">
      <x:c r="A4" s="11" t="n">
        <x:v>2</x:v>
      </x:c>
      <x:c r="B4" s="17" t="n">
        <x:v>20</x:v>
      </x:c>
      <x:c r="C4" s="17" t="n">
        <x:v>10</x:v>
      </x:c>
      <x:c r="D4" s="19" t="n">
        <x:f>B4/'参数说明'!$B$4</x:f>
        <x:v>2</x:v>
      </x:c>
      <x:c r="E4" s="19" t="n">
        <x:f>D4/'参数说明'!$B$5</x:f>
        <x:v>0.6666666666666666</x:v>
      </x:c>
      <x:c r="F4" s="21" t="n">
        <x:f>D4/'参数说明'!$B$6</x:f>
        <x:v>0.3333333333333333</x:v>
      </x:c>
    </x:row>
    <x:row r="5">
      <x:c r="A5" s="11" t="n">
        <x:v>3</x:v>
      </x:c>
      <x:c r="B5" s="17" t="n">
        <x:v>30</x:v>
      </x:c>
      <x:c r="C5" s="17" t="n">
        <x:v>25</x:v>
      </x:c>
      <x:c r="D5" s="19" t="n">
        <x:f>B5/'参数说明'!$B$4</x:f>
        <x:v>3</x:v>
      </x:c>
      <x:c r="E5" s="19" t="n">
        <x:f>D5/'参数说明'!$B$5</x:f>
        <x:v>1</x:v>
      </x:c>
      <x:c r="F5" s="21" t="n">
        <x:f>D5/'参数说明'!$B$6</x:f>
        <x:v>0.5</x:v>
      </x:c>
    </x:row>
    <x:row r="6">
      <x:c r="A6" s="11" t="n">
        <x:v>4</x:v>
      </x:c>
      <x:c r="B6" s="17" t="n">
        <x:v>55</x:v>
      </x:c>
      <x:c r="C6" s="17" t="n">
        <x:v>25</x:v>
      </x:c>
      <x:c r="D6" s="19" t="n">
        <x:f>B6/'参数说明'!$B$4</x:f>
        <x:v>5.5</x:v>
      </x:c>
      <x:c r="E6" s="19" t="n">
        <x:f>D6/'参数说明'!$B$5</x:f>
        <x:v>1.8333333333333333</x:v>
      </x:c>
      <x:c r="F6" s="21" t="n">
        <x:f>D6/'参数说明'!$B$6</x:f>
        <x:v>0.9166666666666666</x:v>
      </x:c>
    </x:row>
    <x:row r="7">
      <x:c r="A7" s="11" t="n">
        <x:v>5</x:v>
      </x:c>
      <x:c r="B7" s="17" t="n">
        <x:v>80</x:v>
      </x:c>
      <x:c r="C7" s="17" t="n">
        <x:v>25</x:v>
      </x:c>
      <x:c r="D7" s="19" t="n">
        <x:f>B7/'参数说明'!$B$4</x:f>
        <x:v>8</x:v>
      </x:c>
      <x:c r="E7" s="19" t="n">
        <x:f>D7/'参数说明'!$B$5</x:f>
        <x:v>2.6666666666666665</x:v>
      </x:c>
      <x:c r="F7" s="21" t="n">
        <x:f>D7/'参数说明'!$B$6</x:f>
        <x:v>1.3333333333333333</x:v>
      </x:c>
    </x:row>
    <x:row r="8">
      <x:c r="A8" s="11" t="n">
        <x:v>6</x:v>
      </x:c>
      <x:c r="B8" s="17" t="n">
        <x:v>105</x:v>
      </x:c>
      <x:c r="C8" s="17" t="n">
        <x:v>30</x:v>
      </x:c>
      <x:c r="D8" s="19" t="n">
        <x:f>B8/'参数说明'!$B$4</x:f>
        <x:v>10.5</x:v>
      </x:c>
      <x:c r="E8" s="19" t="n">
        <x:f>D8/'参数说明'!$B$5</x:f>
        <x:v>3.5</x:v>
      </x:c>
      <x:c r="F8" s="21" t="n">
        <x:f>D8/'参数说明'!$B$6</x:f>
        <x:v>1.75</x:v>
      </x:c>
    </x:row>
    <x:row r="9">
      <x:c r="A9" s="11" t="n">
        <x:v>7</x:v>
      </x:c>
      <x:c r="B9" s="17" t="n">
        <x:v>135</x:v>
      </x:c>
      <x:c r="C9" s="17" t="n">
        <x:v>25</x:v>
      </x:c>
      <x:c r="D9" s="19" t="n">
        <x:f>B9/'参数说明'!$B$4</x:f>
        <x:v>13.5</x:v>
      </x:c>
      <x:c r="E9" s="19" t="n">
        <x:f>D9/'参数说明'!$B$5</x:f>
        <x:v>4.5</x:v>
      </x:c>
      <x:c r="F9" s="21" t="n">
        <x:f>D9/'参数说明'!$B$6</x:f>
        <x:v>2.25</x:v>
      </x:c>
    </x:row>
    <x:row r="10">
      <x:c r="A10" s="11" t="n">
        <x:v>8</x:v>
      </x:c>
      <x:c r="B10" s="17" t="n">
        <x:v>160</x:v>
      </x:c>
      <x:c r="C10" s="17" t="n">
        <x:v>25</x:v>
      </x:c>
      <x:c r="D10" s="19" t="n">
        <x:f>B10/'参数说明'!$B$4</x:f>
        <x:v>16</x:v>
      </x:c>
      <x:c r="E10" s="19" t="n">
        <x:f>D10/'参数说明'!$B$5</x:f>
        <x:v>5.333333333333333</x:v>
      </x:c>
      <x:c r="F10" s="21" t="n">
        <x:f>D10/'参数说明'!$B$6</x:f>
        <x:v>2.6666666666666665</x:v>
      </x:c>
    </x:row>
    <x:row r="11">
      <x:c r="A11" s="11" t="n">
        <x:v>9</x:v>
      </x:c>
      <x:c r="B11" s="17" t="n">
        <x:v>185</x:v>
      </x:c>
      <x:c r="C11" s="17" t="n">
        <x:v>25</x:v>
      </x:c>
      <x:c r="D11" s="19" t="n">
        <x:f>B11/'参数说明'!$B$4</x:f>
        <x:v>18.5</x:v>
      </x:c>
      <x:c r="E11" s="19" t="n">
        <x:f>D11/'参数说明'!$B$5</x:f>
        <x:v>6.166666666666667</x:v>
      </x:c>
      <x:c r="F11" s="21" t="n">
        <x:f>D11/'参数说明'!$B$6</x:f>
        <x:v>3.0833333333333335</x:v>
      </x:c>
    </x:row>
    <x:row r="12">
      <x:c r="A12" s="11" t="n">
        <x:v>10</x:v>
      </x:c>
      <x:c r="B12" s="17" t="n">
        <x:v>210</x:v>
      </x:c>
      <x:c r="C12" s="17" t="n">
        <x:v>45</x:v>
      </x:c>
      <x:c r="D12" s="19" t="n">
        <x:f>B12/'参数说明'!$B$4</x:f>
        <x:v>21</x:v>
      </x:c>
      <x:c r="E12" s="19" t="n">
        <x:f>D12/'参数说明'!$B$5</x:f>
        <x:v>7</x:v>
      </x:c>
      <x:c r="F12" s="21" t="n">
        <x:f>D12/'参数说明'!$B$6</x:f>
        <x:v>3.5</x:v>
      </x:c>
    </x:row>
    <x:row r="13">
      <x:c r="A13" s="11" t="n">
        <x:v>11</x:v>
      </x:c>
      <x:c r="B13" s="17" t="n">
        <x:v>255</x:v>
      </x:c>
      <x:c r="C13" s="17" t="n">
        <x:v>45</x:v>
      </x:c>
      <x:c r="D13" s="19" t="n">
        <x:f>B13/'参数说明'!$B$4</x:f>
        <x:v>25.5</x:v>
      </x:c>
      <x:c r="E13" s="19" t="n">
        <x:f>D13/'参数说明'!$B$5</x:f>
        <x:v>8.5</x:v>
      </x:c>
      <x:c r="F13" s="21" t="n">
        <x:f>D13/'参数说明'!$B$6</x:f>
        <x:v>4.25</x:v>
      </x:c>
    </x:row>
    <x:row r="14">
      <x:c r="A14" s="11" t="n">
        <x:v>12</x:v>
      </x:c>
      <x:c r="B14" s="17" t="n">
        <x:v>300</x:v>
      </x:c>
      <x:c r="C14" s="17" t="n">
        <x:v>50</x:v>
      </x:c>
      <x:c r="D14" s="19" t="n">
        <x:f>B14/'参数说明'!$B$4</x:f>
        <x:v>30</x:v>
      </x:c>
      <x:c r="E14" s="19" t="n">
        <x:f>D14/'参数说明'!$B$5</x:f>
        <x:v>10</x:v>
      </x:c>
      <x:c r="F14" s="21" t="n">
        <x:f>D14/'参数说明'!$B$6</x:f>
        <x:v>5</x:v>
      </x:c>
    </x:row>
    <x:row r="15">
      <x:c r="A15" s="11" t="n">
        <x:v>13</x:v>
      </x:c>
      <x:c r="B15" s="17" t="n">
        <x:v>350</x:v>
      </x:c>
      <x:c r="C15" s="17" t="n">
        <x:v>45</x:v>
      </x:c>
      <x:c r="D15" s="19" t="n">
        <x:f>B15/'参数说明'!$B$4</x:f>
        <x:v>35</x:v>
      </x:c>
      <x:c r="E15" s="19" t="n">
        <x:f>D15/'参数说明'!$B$5</x:f>
        <x:v>11.666666666666666</x:v>
      </x:c>
      <x:c r="F15" s="21" t="n">
        <x:f>D15/'参数说明'!$B$6</x:f>
        <x:v>5.833333333333333</x:v>
      </x:c>
    </x:row>
    <x:row r="16">
      <x:c r="A16" s="11" t="n">
        <x:v>14</x:v>
      </x:c>
      <x:c r="B16" s="17" t="n">
        <x:v>395</x:v>
      </x:c>
      <x:c r="C16" s="17" t="n">
        <x:v>45</x:v>
      </x:c>
      <x:c r="D16" s="19" t="n">
        <x:f>B16/'参数说明'!$B$4</x:f>
        <x:v>39.5</x:v>
      </x:c>
      <x:c r="E16" s="19" t="n">
        <x:f>D16/'参数说明'!$B$5</x:f>
        <x:v>13.166666666666666</x:v>
      </x:c>
      <x:c r="F16" s="21" t="n">
        <x:f>D16/'参数说明'!$B$6</x:f>
        <x:v>6.583333333333333</x:v>
      </x:c>
    </x:row>
    <x:row r="17">
      <x:c r="A17" s="11" t="n">
        <x:v>15</x:v>
      </x:c>
      <x:c r="B17" s="17" t="n">
        <x:v>440</x:v>
      </x:c>
      <x:c r="C17" s="17" t="n">
        <x:v>45</x:v>
      </x:c>
      <x:c r="D17" s="19" t="n">
        <x:f>B17/'参数说明'!$B$4</x:f>
        <x:v>44</x:v>
      </x:c>
      <x:c r="E17" s="19" t="n">
        <x:f>D17/'参数说明'!$B$5</x:f>
        <x:v>14.666666666666666</x:v>
      </x:c>
      <x:c r="F17" s="21" t="n">
        <x:f>D17/'参数说明'!$B$6</x:f>
        <x:v>7.333333333333333</x:v>
      </x:c>
    </x:row>
    <x:row r="18">
      <x:c r="A18" s="11" t="n">
        <x:v>16</x:v>
      </x:c>
      <x:c r="B18" s="17" t="n">
        <x:v>485</x:v>
      </x:c>
      <x:c r="C18" s="17" t="n">
        <x:v>45</x:v>
      </x:c>
      <x:c r="D18" s="19" t="n">
        <x:f>B18/'参数说明'!$B$4</x:f>
        <x:v>48.5</x:v>
      </x:c>
      <x:c r="E18" s="19" t="n">
        <x:f>D18/'参数说明'!$B$5</x:f>
        <x:v>16.166666666666668</x:v>
      </x:c>
      <x:c r="F18" s="21" t="n">
        <x:f>D18/'参数说明'!$B$6</x:f>
        <x:v>8.083333333333334</x:v>
      </x:c>
    </x:row>
    <x:row r="19">
      <x:c r="A19" s="11" t="n">
        <x:v>17</x:v>
      </x:c>
      <x:c r="B19" s="17" t="n">
        <x:v>530</x:v>
      </x:c>
      <x:c r="C19" s="17" t="n">
        <x:v>50</x:v>
      </x:c>
      <x:c r="D19" s="19" t="n">
        <x:f>B19/'参数说明'!$B$4</x:f>
        <x:v>53</x:v>
      </x:c>
      <x:c r="E19" s="19" t="n">
        <x:f>D19/'参数说明'!$B$5</x:f>
        <x:v>17.666666666666668</x:v>
      </x:c>
      <x:c r="F19" s="21" t="n">
        <x:f>D19/'参数说明'!$B$6</x:f>
        <x:v>8.833333333333334</x:v>
      </x:c>
    </x:row>
    <x:row r="20">
      <x:c r="A20" s="11" t="n">
        <x:v>18</x:v>
      </x:c>
      <x:c r="B20" s="17" t="n">
        <x:v>580</x:v>
      </x:c>
      <x:c r="C20" s="17" t="n">
        <x:v>45</x:v>
      </x:c>
      <x:c r="D20" s="19" t="n">
        <x:f>B20/'参数说明'!$B$4</x:f>
        <x:v>58</x:v>
      </x:c>
      <x:c r="E20" s="19" t="n">
        <x:f>D20/'参数说明'!$B$5</x:f>
        <x:v>19.333333333333332</x:v>
      </x:c>
      <x:c r="F20" s="21" t="n">
        <x:f>D20/'参数说明'!$B$6</x:f>
        <x:v>9.666666666666666</x:v>
      </x:c>
    </x:row>
    <x:row r="21">
      <x:c r="A21" s="11" t="n">
        <x:v>19</x:v>
      </x:c>
      <x:c r="B21" s="17" t="n">
        <x:v>625</x:v>
      </x:c>
      <x:c r="C21" s="17" t="n">
        <x:v>45</x:v>
      </x:c>
      <x:c r="D21" s="19" t="n">
        <x:f>B21/'参数说明'!$B$4</x:f>
        <x:v>62.5</x:v>
      </x:c>
      <x:c r="E21" s="19" t="n">
        <x:f>D21/'参数说明'!$B$5</x:f>
        <x:v>20.833333333333332</x:v>
      </x:c>
      <x:c r="F21" s="21" t="n">
        <x:f>D21/'参数说明'!$B$6</x:f>
        <x:v>10.416666666666666</x:v>
      </x:c>
    </x:row>
    <x:row r="22">
      <x:c r="A22" s="11" t="n">
        <x:v>20</x:v>
      </x:c>
      <x:c r="B22" s="17" t="n">
        <x:v>670</x:v>
      </x:c>
      <x:c r="C22" s="17" t="n">
        <x:v>45</x:v>
      </x:c>
      <x:c r="D22" s="19" t="n">
        <x:f>B22/'参数说明'!$B$4</x:f>
        <x:v>67</x:v>
      </x:c>
      <x:c r="E22" s="19" t="n">
        <x:f>D22/'参数说明'!$B$5</x:f>
        <x:v>22.333333333333332</x:v>
      </x:c>
      <x:c r="F22" s="21" t="n">
        <x:f>D22/'参数说明'!$B$6</x:f>
        <x:v>11.166666666666666</x:v>
      </x:c>
    </x:row>
    <x:row r="23">
      <x:c r="A23" s="11" t="n">
        <x:v>21</x:v>
      </x:c>
      <x:c r="B23" s="17" t="n">
        <x:v>715</x:v>
      </x:c>
      <x:c r="C23" s="17" t="n">
        <x:v>45</x:v>
      </x:c>
      <x:c r="D23" s="19" t="n">
        <x:f>B23/'参数说明'!$B$4</x:f>
        <x:v>71.5</x:v>
      </x:c>
      <x:c r="E23" s="19" t="n">
        <x:f>D23/'参数说明'!$B$5</x:f>
        <x:v>23.833333333333332</x:v>
      </x:c>
      <x:c r="F23" s="21" t="n">
        <x:f>D23/'参数说明'!$B$6</x:f>
        <x:v>11.916666666666666</x:v>
      </x:c>
    </x:row>
    <x:row r="24">
      <x:c r="A24" s="11" t="n">
        <x:v>22</x:v>
      </x:c>
      <x:c r="B24" s="17" t="n">
        <x:v>760</x:v>
      </x:c>
      <x:c r="C24" s="17" t="n">
        <x:v>50</x:v>
      </x:c>
      <x:c r="D24" s="19" t="n">
        <x:f>B24/'参数说明'!$B$4</x:f>
        <x:v>76</x:v>
      </x:c>
      <x:c r="E24" s="19" t="n">
        <x:f>D24/'参数说明'!$B$5</x:f>
        <x:v>25.333333333333332</x:v>
      </x:c>
      <x:c r="F24" s="21" t="n">
        <x:f>D24/'参数说明'!$B$6</x:f>
        <x:v>12.666666666666666</x:v>
      </x:c>
    </x:row>
    <x:row r="25">
      <x:c r="A25" s="11" t="n">
        <x:v>23</x:v>
      </x:c>
      <x:c r="B25" s="17" t="n">
        <x:v>810</x:v>
      </x:c>
      <x:c r="C25" s="17" t="n">
        <x:v>45</x:v>
      </x:c>
      <x:c r="D25" s="19" t="n">
        <x:f>B25/'参数说明'!$B$4</x:f>
        <x:v>81</x:v>
      </x:c>
      <x:c r="E25" s="19" t="n">
        <x:f>D25/'参数说明'!$B$5</x:f>
        <x:v>27</x:v>
      </x:c>
      <x:c r="F25" s="21" t="n">
        <x:f>D25/'参数说明'!$B$6</x:f>
        <x:v>13.5</x:v>
      </x:c>
    </x:row>
    <x:row r="26">
      <x:c r="A26" s="11" t="n">
        <x:v>24</x:v>
      </x:c>
      <x:c r="B26" s="17" t="n">
        <x:v>855</x:v>
      </x:c>
      <x:c r="C26" s="17" t="n">
        <x:v>45</x:v>
      </x:c>
      <x:c r="D26" s="19" t="n">
        <x:f>B26/'参数说明'!$B$4</x:f>
        <x:v>85.5</x:v>
      </x:c>
      <x:c r="E26" s="19" t="n">
        <x:f>D26/'参数说明'!$B$5</x:f>
        <x:v>28.5</x:v>
      </x:c>
      <x:c r="F26" s="21" t="n">
        <x:f>D26/'参数说明'!$B$6</x:f>
        <x:v>14.25</x:v>
      </x:c>
    </x:row>
    <x:row r="27">
      <x:c r="A27" s="11" t="n">
        <x:v>25</x:v>
      </x:c>
      <x:c r="B27" s="17" t="n">
        <x:v>900</x:v>
      </x:c>
      <x:c r="C27" s="17" t="n">
        <x:v>90</x:v>
      </x:c>
      <x:c r="D27" s="19" t="n">
        <x:f>B27/'参数说明'!$B$4</x:f>
        <x:v>90</x:v>
      </x:c>
      <x:c r="E27" s="19" t="n">
        <x:f>D27/'参数说明'!$B$5</x:f>
        <x:v>30</x:v>
      </x:c>
      <x:c r="F27" s="21" t="n">
        <x:f>D27/'参数说明'!$B$6</x:f>
        <x:v>15</x:v>
      </x:c>
    </x:row>
    <x:row r="28">
      <x:c r="A28" s="11" t="n">
        <x:v>26</x:v>
      </x:c>
      <x:c r="B28" s="17" t="n">
        <x:v>990</x:v>
      </x:c>
      <x:c r="C28" s="17" t="n">
        <x:v>90</x:v>
      </x:c>
      <x:c r="D28" s="19" t="n">
        <x:f>B28/'参数说明'!$B$4</x:f>
        <x:v>99</x:v>
      </x:c>
      <x:c r="E28" s="19" t="n">
        <x:f>D28/'参数说明'!$B$5</x:f>
        <x:v>33</x:v>
      </x:c>
      <x:c r="F28" s="21" t="n">
        <x:f>D28/'参数说明'!$B$6</x:f>
        <x:v>16.5</x:v>
      </x:c>
    </x:row>
    <x:row r="29">
      <x:c r="A29" s="11" t="n">
        <x:v>27</x:v>
      </x:c>
      <x:c r="B29" s="17" t="n">
        <x:v>1080</x:v>
      </x:c>
      <x:c r="C29" s="17" t="n">
        <x:v>90</x:v>
      </x:c>
      <x:c r="D29" s="19" t="n">
        <x:f>B29/'参数说明'!$B$4</x:f>
        <x:v>108</x:v>
      </x:c>
      <x:c r="E29" s="19" t="n">
        <x:f>D29/'参数说明'!$B$5</x:f>
        <x:v>36</x:v>
      </x:c>
      <x:c r="F29" s="21" t="n">
        <x:f>D29/'参数说明'!$B$6</x:f>
        <x:v>18</x:v>
      </x:c>
    </x:row>
    <x:row r="30">
      <x:c r="A30" s="11" t="n">
        <x:v>28</x:v>
      </x:c>
      <x:c r="B30" s="17" t="n">
        <x:v>1170</x:v>
      </x:c>
      <x:c r="C30" s="17" t="n">
        <x:v>90</x:v>
      </x:c>
      <x:c r="D30" s="19" t="n">
        <x:f>B30/'参数说明'!$B$4</x:f>
        <x:v>117</x:v>
      </x:c>
      <x:c r="E30" s="19" t="n">
        <x:f>D30/'参数说明'!$B$5</x:f>
        <x:v>39</x:v>
      </x:c>
      <x:c r="F30" s="21" t="n">
        <x:f>D30/'参数说明'!$B$6</x:f>
        <x:v>19.5</x:v>
      </x:c>
    </x:row>
    <x:row r="31">
      <x:c r="A31" s="11" t="n">
        <x:v>29</x:v>
      </x:c>
      <x:c r="B31" s="17" t="n">
        <x:v>1260</x:v>
      </x:c>
      <x:c r="C31" s="17" t="n">
        <x:v>90</x:v>
      </x:c>
      <x:c r="D31" s="19" t="n">
        <x:f>B31/'参数说明'!$B$4</x:f>
        <x:v>126</x:v>
      </x:c>
      <x:c r="E31" s="19" t="n">
        <x:f>D31/'参数说明'!$B$5</x:f>
        <x:v>42</x:v>
      </x:c>
      <x:c r="F31" s="21" t="n">
        <x:f>D31/'参数说明'!$B$6</x:f>
        <x:v>21</x:v>
      </x:c>
    </x:row>
    <x:row r="32">
      <x:c r="A32" s="11" t="n">
        <x:v>30</x:v>
      </x:c>
      <x:c r="B32" s="17" t="n">
        <x:v>1350</x:v>
      </x:c>
      <x:c r="C32" s="17" t="n">
        <x:v>90</x:v>
      </x:c>
      <x:c r="D32" s="19" t="n">
        <x:f>B32/'参数说明'!$B$4</x:f>
        <x:v>135</x:v>
      </x:c>
      <x:c r="E32" s="19" t="n">
        <x:f>D32/'参数说明'!$B$5</x:f>
        <x:v>45</x:v>
      </x:c>
      <x:c r="F32" s="21" t="n">
        <x:f>D32/'参数说明'!$B$6</x:f>
        <x:v>22.5</x:v>
      </x:c>
    </x:row>
    <x:row r="33">
      <x:c r="A33" s="11" t="n">
        <x:v>31</x:v>
      </x:c>
      <x:c r="B33" s="17" t="n">
        <x:v>1440</x:v>
      </x:c>
      <x:c r="C33" s="17" t="n">
        <x:v>90</x:v>
      </x:c>
      <x:c r="D33" s="19" t="n">
        <x:f>B33/'参数说明'!$B$4</x:f>
        <x:v>144</x:v>
      </x:c>
      <x:c r="E33" s="19" t="n">
        <x:f>D33/'参数说明'!$B$5</x:f>
        <x:v>48</x:v>
      </x:c>
      <x:c r="F33" s="21" t="n">
        <x:f>D33/'参数说明'!$B$6</x:f>
        <x:v>24</x:v>
      </x:c>
    </x:row>
    <x:row r="34">
      <x:c r="A34" s="11" t="n">
        <x:v>32</x:v>
      </x:c>
      <x:c r="B34" s="17" t="n">
        <x:v>1530</x:v>
      </x:c>
      <x:c r="C34" s="17" t="n">
        <x:v>90</x:v>
      </x:c>
      <x:c r="D34" s="19" t="n">
        <x:f>B34/'参数说明'!$B$4</x:f>
        <x:v>153</x:v>
      </x:c>
      <x:c r="E34" s="19" t="n">
        <x:f>D34/'参数说明'!$B$5</x:f>
        <x:v>51</x:v>
      </x:c>
      <x:c r="F34" s="21" t="n">
        <x:f>D34/'参数说明'!$B$6</x:f>
        <x:v>25.5</x:v>
      </x:c>
    </x:row>
    <x:row r="35">
      <x:c r="A35" s="11" t="n">
        <x:v>33</x:v>
      </x:c>
      <x:c r="B35" s="17" t="n">
        <x:v>1620</x:v>
      </x:c>
      <x:c r="C35" s="17" t="n">
        <x:v>90</x:v>
      </x:c>
      <x:c r="D35" s="19" t="n">
        <x:f>B35/'参数说明'!$B$4</x:f>
        <x:v>162</x:v>
      </x:c>
      <x:c r="E35" s="19" t="n">
        <x:f>D35/'参数说明'!$B$5</x:f>
        <x:v>54</x:v>
      </x:c>
      <x:c r="F35" s="21" t="n">
        <x:f>D35/'参数说明'!$B$6</x:f>
        <x:v>27</x:v>
      </x:c>
    </x:row>
    <x:row r="36">
      <x:c r="A36" s="11" t="n">
        <x:v>34</x:v>
      </x:c>
      <x:c r="B36" s="17" t="n">
        <x:v>1710</x:v>
      </x:c>
      <x:c r="C36" s="17" t="n">
        <x:v>90</x:v>
      </x:c>
      <x:c r="D36" s="19" t="n">
        <x:f>B36/'参数说明'!$B$4</x:f>
        <x:v>171</x:v>
      </x:c>
      <x:c r="E36" s="19" t="n">
        <x:f>D36/'参数说明'!$B$5</x:f>
        <x:v>57</x:v>
      </x:c>
      <x:c r="F36" s="21" t="n">
        <x:f>D36/'参数说明'!$B$6</x:f>
        <x:v>28.5</x:v>
      </x:c>
    </x:row>
    <x:row r="37">
      <x:c r="A37" s="11" t="n">
        <x:v>35</x:v>
      </x:c>
      <x:c r="B37" s="17" t="n">
        <x:v>1800</x:v>
      </x:c>
      <x:c r="C37" s="17" t="n">
        <x:v>90</x:v>
      </x:c>
      <x:c r="D37" s="19" t="n">
        <x:f>B37/'参数说明'!$B$4</x:f>
        <x:v>180</x:v>
      </x:c>
      <x:c r="E37" s="19" t="n">
        <x:f>D37/'参数说明'!$B$5</x:f>
        <x:v>60</x:v>
      </x:c>
      <x:c r="F37" s="21" t="n">
        <x:f>D37/'参数说明'!$B$6</x:f>
        <x:v>30</x:v>
      </x:c>
    </x:row>
    <x:row r="38">
      <x:c r="A38" s="11" t="n">
        <x:v>36</x:v>
      </x:c>
      <x:c r="B38" s="17" t="n">
        <x:v>1890</x:v>
      </x:c>
      <x:c r="C38" s="17" t="n">
        <x:v>90</x:v>
      </x:c>
      <x:c r="D38" s="19" t="n">
        <x:f>B38/'参数说明'!$B$4</x:f>
        <x:v>189</x:v>
      </x:c>
      <x:c r="E38" s="19" t="n">
        <x:f>D38/'参数说明'!$B$5</x:f>
        <x:v>63</x:v>
      </x:c>
      <x:c r="F38" s="21" t="n">
        <x:f>D38/'参数说明'!$B$6</x:f>
        <x:v>31.5</x:v>
      </x:c>
    </x:row>
    <x:row r="39">
      <x:c r="A39" s="11" t="n">
        <x:v>37</x:v>
      </x:c>
      <x:c r="B39" s="17" t="n">
        <x:v>1980</x:v>
      </x:c>
      <x:c r="C39" s="17" t="n">
        <x:v>90</x:v>
      </x:c>
      <x:c r="D39" s="19" t="n">
        <x:f>B39/'参数说明'!$B$4</x:f>
        <x:v>198</x:v>
      </x:c>
      <x:c r="E39" s="19" t="n">
        <x:f>D39/'参数说明'!$B$5</x:f>
        <x:v>66</x:v>
      </x:c>
      <x:c r="F39" s="21" t="n">
        <x:f>D39/'参数说明'!$B$6</x:f>
        <x:v>33</x:v>
      </x:c>
    </x:row>
    <x:row r="40">
      <x:c r="A40" s="11" t="n">
        <x:v>38</x:v>
      </x:c>
      <x:c r="B40" s="17" t="n">
        <x:v>2070</x:v>
      </x:c>
      <x:c r="C40" s="17" t="n">
        <x:v>90</x:v>
      </x:c>
      <x:c r="D40" s="19" t="n">
        <x:f>B40/'参数说明'!$B$4</x:f>
        <x:v>207</x:v>
      </x:c>
      <x:c r="E40" s="19" t="n">
        <x:f>D40/'参数说明'!$B$5</x:f>
        <x:v>69</x:v>
      </x:c>
      <x:c r="F40" s="21" t="n">
        <x:f>D40/'参数说明'!$B$6</x:f>
        <x:v>34.5</x:v>
      </x:c>
    </x:row>
    <x:row r="41">
      <x:c r="A41" s="11" t="n">
        <x:v>39</x:v>
      </x:c>
      <x:c r="B41" s="17" t="n">
        <x:v>2160</x:v>
      </x:c>
      <x:c r="C41" s="17" t="n">
        <x:v>90</x:v>
      </x:c>
      <x:c r="D41" s="19" t="n">
        <x:f>B41/'参数说明'!$B$4</x:f>
        <x:v>216</x:v>
      </x:c>
      <x:c r="E41" s="19" t="n">
        <x:f>D41/'参数说明'!$B$5</x:f>
        <x:v>72</x:v>
      </x:c>
      <x:c r="F41" s="21" t="n">
        <x:f>D41/'参数说明'!$B$6</x:f>
        <x:v>36</x:v>
      </x:c>
    </x:row>
    <x:row r="42">
      <x:c r="A42" s="11" t="n">
        <x:v>40</x:v>
      </x:c>
      <x:c r="B42" s="17" t="n">
        <x:v>2250</x:v>
      </x:c>
      <x:c r="C42" s="17" t="n">
        <x:v>90</x:v>
      </x:c>
      <x:c r="D42" s="19" t="n">
        <x:f>B42/'参数说明'!$B$4</x:f>
        <x:v>225</x:v>
      </x:c>
      <x:c r="E42" s="19" t="n">
        <x:f>D42/'参数说明'!$B$5</x:f>
        <x:v>75</x:v>
      </x:c>
      <x:c r="F42" s="21" t="n">
        <x:f>D42/'参数说明'!$B$6</x:f>
        <x:v>37.5</x:v>
      </x:c>
    </x:row>
    <x:row r="43">
      <x:c r="A43" s="11" t="n">
        <x:v>41</x:v>
      </x:c>
      <x:c r="B43" s="17" t="n">
        <x:v>2340</x:v>
      </x:c>
      <x:c r="C43" s="17" t="n">
        <x:v>90</x:v>
      </x:c>
      <x:c r="D43" s="19" t="n">
        <x:f>B43/'参数说明'!$B$4</x:f>
        <x:v>234</x:v>
      </x:c>
      <x:c r="E43" s="19" t="n">
        <x:f>D43/'参数说明'!$B$5</x:f>
        <x:v>78</x:v>
      </x:c>
      <x:c r="F43" s="21" t="n">
        <x:f>D43/'参数说明'!$B$6</x:f>
        <x:v>39</x:v>
      </x:c>
    </x:row>
    <x:row r="44">
      <x:c r="A44" s="11" t="n">
        <x:v>42</x:v>
      </x:c>
      <x:c r="B44" s="17" t="n">
        <x:v>2430</x:v>
      </x:c>
      <x:c r="C44" s="17" t="n">
        <x:v>90</x:v>
      </x:c>
      <x:c r="D44" s="19" t="n">
        <x:f>B44/'参数说明'!$B$4</x:f>
        <x:v>243</x:v>
      </x:c>
      <x:c r="E44" s="19" t="n">
        <x:f>D44/'参数说明'!$B$5</x:f>
        <x:v>81</x:v>
      </x:c>
      <x:c r="F44" s="21" t="n">
        <x:f>D44/'参数说明'!$B$6</x:f>
        <x:v>40.5</x:v>
      </x:c>
    </x:row>
    <x:row r="45">
      <x:c r="A45" s="11" t="n">
        <x:v>43</x:v>
      </x:c>
      <x:c r="B45" s="17" t="n">
        <x:v>2520</x:v>
      </x:c>
      <x:c r="C45" s="17" t="n">
        <x:v>90</x:v>
      </x:c>
      <x:c r="D45" s="19" t="n">
        <x:f>B45/'参数说明'!$B$4</x:f>
        <x:v>252</x:v>
      </x:c>
      <x:c r="E45" s="19" t="n">
        <x:f>D45/'参数说明'!$B$5</x:f>
        <x:v>84</x:v>
      </x:c>
      <x:c r="F45" s="21" t="n">
        <x:f>D45/'参数说明'!$B$6</x:f>
        <x:v>42</x:v>
      </x:c>
    </x:row>
    <x:row r="46">
      <x:c r="A46" s="11" t="n">
        <x:v>44</x:v>
      </x:c>
      <x:c r="B46" s="17" t="n">
        <x:v>2610</x:v>
      </x:c>
      <x:c r="C46" s="17" t="n">
        <x:v>90</x:v>
      </x:c>
      <x:c r="D46" s="19" t="n">
        <x:f>B46/'参数说明'!$B$4</x:f>
        <x:v>261</x:v>
      </x:c>
      <x:c r="E46" s="19" t="n">
        <x:f>D46/'参数说明'!$B$5</x:f>
        <x:v>87</x:v>
      </x:c>
      <x:c r="F46" s="21" t="n">
        <x:f>D46/'参数说明'!$B$6</x:f>
        <x:v>43.5</x:v>
      </x:c>
    </x:row>
    <x:row r="47">
      <x:c r="A47" s="11" t="n">
        <x:v>45</x:v>
      </x:c>
      <x:c r="B47" s="17" t="n">
        <x:v>2700</x:v>
      </x:c>
      <x:c r="C47" s="17" t="n">
        <x:v>135</x:v>
      </x:c>
      <x:c r="D47" s="19" t="n">
        <x:f>B47/'参数说明'!$B$4</x:f>
        <x:v>270</x:v>
      </x:c>
      <x:c r="E47" s="19" t="n">
        <x:f>D47/'参数说明'!$B$5</x:f>
        <x:v>90</x:v>
      </x:c>
      <x:c r="F47" s="21" t="n">
        <x:f>D47/'参数说明'!$B$6</x:f>
        <x:v>45</x:v>
      </x:c>
    </x:row>
    <x:row r="48">
      <x:c r="A48" s="11" t="n">
        <x:v>46</x:v>
      </x:c>
      <x:c r="B48" s="17" t="n">
        <x:v>2835</x:v>
      </x:c>
      <x:c r="C48" s="17" t="n">
        <x:v>135</x:v>
      </x:c>
      <x:c r="D48" s="19" t="n">
        <x:f>B48/'参数说明'!$B$4</x:f>
        <x:v>283.5</x:v>
      </x:c>
      <x:c r="E48" s="19" t="n">
        <x:f>D48/'参数说明'!$B$5</x:f>
        <x:v>94.5</x:v>
      </x:c>
      <x:c r="F48" s="21" t="n">
        <x:f>D48/'参数说明'!$B$6</x:f>
        <x:v>47.25</x:v>
      </x:c>
    </x:row>
    <x:row r="49">
      <x:c r="A49" s="11" t="n">
        <x:v>47</x:v>
      </x:c>
      <x:c r="B49" s="17" t="n">
        <x:v>2970</x:v>
      </x:c>
      <x:c r="C49" s="17" t="n">
        <x:v>135</x:v>
      </x:c>
      <x:c r="D49" s="19" t="n">
        <x:f>B49/'参数说明'!$B$4</x:f>
        <x:v>297</x:v>
      </x:c>
      <x:c r="E49" s="19" t="n">
        <x:f>D49/'参数说明'!$B$5</x:f>
        <x:v>99</x:v>
      </x:c>
      <x:c r="F49" s="21" t="n">
        <x:f>D49/'参数说明'!$B$6</x:f>
        <x:v>49.5</x:v>
      </x:c>
    </x:row>
    <x:row r="50">
      <x:c r="A50" s="11" t="n">
        <x:v>48</x:v>
      </x:c>
      <x:c r="B50" s="17" t="n">
        <x:v>3105</x:v>
      </x:c>
      <x:c r="C50" s="17" t="n">
        <x:v>135</x:v>
      </x:c>
      <x:c r="D50" s="19" t="n">
        <x:f>B50/'参数说明'!$B$4</x:f>
        <x:v>310.5</x:v>
      </x:c>
      <x:c r="E50" s="19" t="n">
        <x:f>D50/'参数说明'!$B$5</x:f>
        <x:v>103.5</x:v>
      </x:c>
      <x:c r="F50" s="21" t="n">
        <x:f>D50/'参数说明'!$B$6</x:f>
        <x:v>51.75</x:v>
      </x:c>
    </x:row>
    <x:row r="51">
      <x:c r="A51" s="11" t="n">
        <x:v>49</x:v>
      </x:c>
      <x:c r="B51" s="17" t="n">
        <x:v>3240</x:v>
      </x:c>
      <x:c r="C51" s="17" t="n">
        <x:v>135</x:v>
      </x:c>
      <x:c r="D51" s="19" t="n">
        <x:f>B51/'参数说明'!$B$4</x:f>
        <x:v>324</x:v>
      </x:c>
      <x:c r="E51" s="19" t="n">
        <x:f>D51/'参数说明'!$B$5</x:f>
        <x:v>108</x:v>
      </x:c>
      <x:c r="F51" s="21" t="n">
        <x:f>D51/'参数说明'!$B$6</x:f>
        <x:v>54</x:v>
      </x:c>
    </x:row>
    <x:row r="52">
      <x:c r="A52" s="11" t="n">
        <x:v>50</x:v>
      </x:c>
      <x:c r="B52" s="17" t="n">
        <x:v>3375</x:v>
      </x:c>
      <x:c r="C52" s="17" t="n">
        <x:v>135</x:v>
      </x:c>
      <x:c r="D52" s="19" t="n">
        <x:f>B52/'参数说明'!$B$4</x:f>
        <x:v>337.5</x:v>
      </x:c>
      <x:c r="E52" s="19" t="n">
        <x:f>D52/'参数说明'!$B$5</x:f>
        <x:v>112.5</x:v>
      </x:c>
      <x:c r="F52" s="21" t="n">
        <x:f>D52/'参数说明'!$B$6</x:f>
        <x:v>56.25</x:v>
      </x:c>
    </x:row>
    <x:row r="53">
      <x:c r="A53" s="11" t="n">
        <x:v>51</x:v>
      </x:c>
      <x:c r="B53" s="17" t="n">
        <x:v>3510</x:v>
      </x:c>
      <x:c r="C53" s="17" t="n">
        <x:v>135</x:v>
      </x:c>
      <x:c r="D53" s="19" t="n">
        <x:f>B53/'参数说明'!$B$4</x:f>
        <x:v>351</x:v>
      </x:c>
      <x:c r="E53" s="19" t="n">
        <x:f>D53/'参数说明'!$B$5</x:f>
        <x:v>117</x:v>
      </x:c>
      <x:c r="F53" s="21" t="n">
        <x:f>D53/'参数说明'!$B$6</x:f>
        <x:v>58.5</x:v>
      </x:c>
    </x:row>
    <x:row r="54">
      <x:c r="A54" s="11" t="n">
        <x:v>52</x:v>
      </x:c>
      <x:c r="B54" s="17" t="n">
        <x:v>3645</x:v>
      </x:c>
      <x:c r="C54" s="17" t="n">
        <x:v>135</x:v>
      </x:c>
      <x:c r="D54" s="19" t="n">
        <x:f>B54/'参数说明'!$B$4</x:f>
        <x:v>364.5</x:v>
      </x:c>
      <x:c r="E54" s="19" t="n">
        <x:f>D54/'参数说明'!$B$5</x:f>
        <x:v>121.5</x:v>
      </x:c>
      <x:c r="F54" s="21" t="n">
        <x:f>D54/'参数说明'!$B$6</x:f>
        <x:v>60.75</x:v>
      </x:c>
    </x:row>
    <x:row r="55">
      <x:c r="A55" s="11" t="n">
        <x:v>53</x:v>
      </x:c>
      <x:c r="B55" s="17" t="n">
        <x:v>3780</x:v>
      </x:c>
      <x:c r="C55" s="17" t="n">
        <x:v>135</x:v>
      </x:c>
      <x:c r="D55" s="19" t="n">
        <x:f>B55/'参数说明'!$B$4</x:f>
        <x:v>378</x:v>
      </x:c>
      <x:c r="E55" s="19" t="n">
        <x:f>D55/'参数说明'!$B$5</x:f>
        <x:v>126</x:v>
      </x:c>
      <x:c r="F55" s="21" t="n">
        <x:f>D55/'参数说明'!$B$6</x:f>
        <x:v>63</x:v>
      </x:c>
    </x:row>
    <x:row r="56">
      <x:c r="A56" s="11" t="n">
        <x:v>54</x:v>
      </x:c>
      <x:c r="B56" s="17" t="n">
        <x:v>3915</x:v>
      </x:c>
      <x:c r="C56" s="17" t="n">
        <x:v>135</x:v>
      </x:c>
      <x:c r="D56" s="19" t="n">
        <x:f>B56/'参数说明'!$B$4</x:f>
        <x:v>391.5</x:v>
      </x:c>
      <x:c r="E56" s="19" t="n">
        <x:f>D56/'参数说明'!$B$5</x:f>
        <x:v>130.5</x:v>
      </x:c>
      <x:c r="F56" s="21" t="n">
        <x:f>D56/'参数说明'!$B$6</x:f>
        <x:v>65.25</x:v>
      </x:c>
    </x:row>
    <x:row r="57">
      <x:c r="A57" s="11" t="n">
        <x:v>55</x:v>
      </x:c>
      <x:c r="B57" s="17" t="n">
        <x:v>4050</x:v>
      </x:c>
      <x:c r="C57" s="17" t="n">
        <x:v>135</x:v>
      </x:c>
      <x:c r="D57" s="19" t="n">
        <x:f>B57/'参数说明'!$B$4</x:f>
        <x:v>405</x:v>
      </x:c>
      <x:c r="E57" s="19" t="n">
        <x:f>D57/'参数说明'!$B$5</x:f>
        <x:v>135</x:v>
      </x:c>
      <x:c r="F57" s="21" t="n">
        <x:f>D57/'参数说明'!$B$6</x:f>
        <x:v>67.5</x:v>
      </x:c>
    </x:row>
    <x:row r="58">
      <x:c r="A58" s="11" t="n">
        <x:v>56</x:v>
      </x:c>
      <x:c r="B58" s="17" t="n">
        <x:v>4185</x:v>
      </x:c>
      <x:c r="C58" s="17" t="n">
        <x:v>135</x:v>
      </x:c>
      <x:c r="D58" s="19" t="n">
        <x:f>B58/'参数说明'!$B$4</x:f>
        <x:v>418.5</x:v>
      </x:c>
      <x:c r="E58" s="19" t="n">
        <x:f>D58/'参数说明'!$B$5</x:f>
        <x:v>139.5</x:v>
      </x:c>
      <x:c r="F58" s="21" t="n">
        <x:f>D58/'参数说明'!$B$6</x:f>
        <x:v>69.75</x:v>
      </x:c>
    </x:row>
    <x:row r="59">
      <x:c r="A59" s="11" t="n">
        <x:v>57</x:v>
      </x:c>
      <x:c r="B59" s="17" t="n">
        <x:v>4320</x:v>
      </x:c>
      <x:c r="C59" s="17" t="n">
        <x:v>135</x:v>
      </x:c>
      <x:c r="D59" s="19" t="n">
        <x:f>B59/'参数说明'!$B$4</x:f>
        <x:v>432</x:v>
      </x:c>
      <x:c r="E59" s="19" t="n">
        <x:f>D59/'参数说明'!$B$5</x:f>
        <x:v>144</x:v>
      </x:c>
      <x:c r="F59" s="21" t="n">
        <x:f>D59/'参数说明'!$B$6</x:f>
        <x:v>72</x:v>
      </x:c>
    </x:row>
    <x:row r="60">
      <x:c r="A60" s="11" t="n">
        <x:v>58</x:v>
      </x:c>
      <x:c r="B60" s="17" t="n">
        <x:v>4455</x:v>
      </x:c>
      <x:c r="C60" s="17" t="n">
        <x:v>135</x:v>
      </x:c>
      <x:c r="D60" s="19" t="n">
        <x:f>B60/'参数说明'!$B$4</x:f>
        <x:v>445.5</x:v>
      </x:c>
      <x:c r="E60" s="19" t="n">
        <x:f>D60/'参数说明'!$B$5</x:f>
        <x:v>148.5</x:v>
      </x:c>
      <x:c r="F60" s="21" t="n">
        <x:f>D60/'参数说明'!$B$6</x:f>
        <x:v>74.25</x:v>
      </x:c>
    </x:row>
    <x:row r="61">
      <x:c r="A61" s="11" t="n">
        <x:v>59</x:v>
      </x:c>
      <x:c r="B61" s="17" t="n">
        <x:v>4590</x:v>
      </x:c>
      <x:c r="C61" s="17" t="n">
        <x:v>135</x:v>
      </x:c>
      <x:c r="D61" s="19" t="n">
        <x:f>B61/'参数说明'!$B$4</x:f>
        <x:v>459</x:v>
      </x:c>
      <x:c r="E61" s="19" t="n">
        <x:f>D61/'参数说明'!$B$5</x:f>
        <x:v>153</x:v>
      </x:c>
      <x:c r="F61" s="21" t="n">
        <x:f>D61/'参数说明'!$B$6</x:f>
        <x:v>76.5</x:v>
      </x:c>
    </x:row>
    <x:row r="62">
      <x:c r="A62" s="11" t="n">
        <x:v>60</x:v>
      </x:c>
      <x:c r="B62" s="17" t="n">
        <x:v>4725</x:v>
      </x:c>
      <x:c r="C62" s="17" t="n">
        <x:v>135</x:v>
      </x:c>
      <x:c r="D62" s="19" t="n">
        <x:f>B62/'参数说明'!$B$4</x:f>
        <x:v>472.5</x:v>
      </x:c>
      <x:c r="E62" s="19" t="n">
        <x:f>D62/'参数说明'!$B$5</x:f>
        <x:v>157.5</x:v>
      </x:c>
      <x:c r="F62" s="21" t="n">
        <x:f>D62/'参数说明'!$B$6</x:f>
        <x:v>78.75</x:v>
      </x:c>
    </x:row>
    <x:row r="63">
      <x:c r="A63" s="11" t="n">
        <x:v>61</x:v>
      </x:c>
      <x:c r="B63" s="17" t="n">
        <x:v>4860</x:v>
      </x:c>
      <x:c r="C63" s="17" t="n">
        <x:v>135</x:v>
      </x:c>
      <x:c r="D63" s="19" t="n">
        <x:f>B63/'参数说明'!$B$4</x:f>
        <x:v>486</x:v>
      </x:c>
      <x:c r="E63" s="19" t="n">
        <x:f>D63/'参数说明'!$B$5</x:f>
        <x:v>162</x:v>
      </x:c>
      <x:c r="F63" s="21" t="n">
        <x:f>D63/'参数说明'!$B$6</x:f>
        <x:v>81</x:v>
      </x:c>
    </x:row>
    <x:row r="64">
      <x:c r="A64" s="11" t="n">
        <x:v>62</x:v>
      </x:c>
      <x:c r="B64" s="17" t="n">
        <x:v>4995</x:v>
      </x:c>
      <x:c r="C64" s="17" t="n">
        <x:v>135</x:v>
      </x:c>
      <x:c r="D64" s="19" t="n">
        <x:f>B64/'参数说明'!$B$4</x:f>
        <x:v>499.5</x:v>
      </x:c>
      <x:c r="E64" s="19" t="n">
        <x:f>D64/'参数说明'!$B$5</x:f>
        <x:v>166.5</x:v>
      </x:c>
      <x:c r="F64" s="21" t="n">
        <x:f>D64/'参数说明'!$B$6</x:f>
        <x:v>83.25</x:v>
      </x:c>
    </x:row>
    <x:row r="65">
      <x:c r="A65" s="11" t="n">
        <x:v>63</x:v>
      </x:c>
      <x:c r="B65" s="17" t="n">
        <x:v>5130</x:v>
      </x:c>
      <x:c r="C65" s="17" t="n">
        <x:v>135</x:v>
      </x:c>
      <x:c r="D65" s="19" t="n">
        <x:f>B65/'参数说明'!$B$4</x:f>
        <x:v>513</x:v>
      </x:c>
      <x:c r="E65" s="19" t="n">
        <x:f>D65/'参数说明'!$B$5</x:f>
        <x:v>171</x:v>
      </x:c>
      <x:c r="F65" s="21" t="n">
        <x:f>D65/'参数说明'!$B$6</x:f>
        <x:v>85.5</x:v>
      </x:c>
    </x:row>
    <x:row r="66">
      <x:c r="A66" s="11" t="n">
        <x:v>64</x:v>
      </x:c>
      <x:c r="B66" s="17" t="n">
        <x:v>5265</x:v>
      </x:c>
      <x:c r="C66" s="17" t="n">
        <x:v>135</x:v>
      </x:c>
      <x:c r="D66" s="19" t="n">
        <x:f>B66/'参数说明'!$B$4</x:f>
        <x:v>526.5</x:v>
      </x:c>
      <x:c r="E66" s="19" t="n">
        <x:f>D66/'参数说明'!$B$5</x:f>
        <x:v>175.5</x:v>
      </x:c>
      <x:c r="F66" s="21" t="n">
        <x:f>D66/'参数说明'!$B$6</x:f>
        <x:v>87.75</x:v>
      </x:c>
    </x:row>
    <x:row r="67">
      <x:c r="A67" s="11" t="n">
        <x:v>65</x:v>
      </x:c>
      <x:c r="B67" s="17" t="n">
        <x:v>5400</x:v>
      </x:c>
      <x:c r="C67" s="17" t="n">
        <x:v>160</x:v>
      </x:c>
      <x:c r="D67" s="19" t="n">
        <x:f>B67/'参数说明'!$B$4</x:f>
        <x:v>540</x:v>
      </x:c>
      <x:c r="E67" s="19" t="n">
        <x:f>D67/'参数说明'!$B$5</x:f>
        <x:v>180</x:v>
      </x:c>
      <x:c r="F67" s="21" t="n">
        <x:f>D67/'参数说明'!$B$6</x:f>
        <x:v>90</x:v>
      </x:c>
    </x:row>
    <x:row r="68">
      <x:c r="A68" s="11" t="n">
        <x:v>66</x:v>
      </x:c>
      <x:c r="B68" s="17" t="n">
        <x:v>5560</x:v>
      </x:c>
      <x:c r="C68" s="17" t="n">
        <x:v>155</x:v>
      </x:c>
      <x:c r="D68" s="19" t="n">
        <x:f>B68/'参数说明'!$B$4</x:f>
        <x:v>556</x:v>
      </x:c>
      <x:c r="E68" s="19" t="n">
        <x:f>D68/'参数说明'!$B$5</x:f>
        <x:v>185.33333333333334</x:v>
      </x:c>
      <x:c r="F68" s="21" t="n">
        <x:f>D68/'参数说明'!$B$6</x:f>
        <x:v>92.66666666666667</x:v>
      </x:c>
    </x:row>
    <x:row r="69">
      <x:c r="A69" s="11" t="n">
        <x:v>67</x:v>
      </x:c>
      <x:c r="B69" s="17" t="n">
        <x:v>5715</x:v>
      </x:c>
      <x:c r="C69" s="17" t="n">
        <x:v>160</x:v>
      </x:c>
      <x:c r="D69" s="19" t="n">
        <x:f>B69/'参数说明'!$B$4</x:f>
        <x:v>571.5</x:v>
      </x:c>
      <x:c r="E69" s="19" t="n">
        <x:f>D69/'参数说明'!$B$5</x:f>
        <x:v>190.5</x:v>
      </x:c>
      <x:c r="F69" s="21" t="n">
        <x:f>D69/'参数说明'!$B$6</x:f>
        <x:v>95.25</x:v>
      </x:c>
    </x:row>
    <x:row r="70">
      <x:c r="A70" s="11" t="n">
        <x:v>68</x:v>
      </x:c>
      <x:c r="B70" s="17" t="n">
        <x:v>5875</x:v>
      </x:c>
      <x:c r="C70" s="17" t="n">
        <x:v>160</x:v>
      </x:c>
      <x:c r="D70" s="19" t="n">
        <x:f>B70/'参数说明'!$B$4</x:f>
        <x:v>587.5</x:v>
      </x:c>
      <x:c r="E70" s="19" t="n">
        <x:f>D70/'参数说明'!$B$5</x:f>
        <x:v>195.83333333333334</x:v>
      </x:c>
      <x:c r="F70" s="21" t="n">
        <x:f>D70/'参数说明'!$B$6</x:f>
        <x:v>97.91666666666667</x:v>
      </x:c>
    </x:row>
    <x:row r="71">
      <x:c r="A71" s="11" t="n">
        <x:v>69</x:v>
      </x:c>
      <x:c r="B71" s="17" t="n">
        <x:v>6035</x:v>
      </x:c>
      <x:c r="C71" s="17" t="n">
        <x:v>160</x:v>
      </x:c>
      <x:c r="D71" s="19" t="n">
        <x:f>B71/'参数说明'!$B$4</x:f>
        <x:v>603.5</x:v>
      </x:c>
      <x:c r="E71" s="19" t="n">
        <x:f>D71/'参数说明'!$B$5</x:f>
        <x:v>201.16666666666666</x:v>
      </x:c>
      <x:c r="F71" s="21" t="n">
        <x:f>D71/'参数说明'!$B$6</x:f>
        <x:v>100.58333333333333</x:v>
      </x:c>
    </x:row>
    <x:row r="72">
      <x:c r="A72" s="11" t="n">
        <x:v>70</x:v>
      </x:c>
      <x:c r="B72" s="17" t="n">
        <x:v>6195</x:v>
      </x:c>
      <x:c r="C72" s="17" t="n">
        <x:v>155</x:v>
      </x:c>
      <x:c r="D72" s="19" t="n">
        <x:f>B72/'参数说明'!$B$4</x:f>
        <x:v>619.5</x:v>
      </x:c>
      <x:c r="E72" s="19" t="n">
        <x:f>D72/'参数说明'!$B$5</x:f>
        <x:v>206.5</x:v>
      </x:c>
      <x:c r="F72" s="21" t="n">
        <x:f>D72/'参数说明'!$B$6</x:f>
        <x:v>103.25</x:v>
      </x:c>
    </x:row>
    <x:row r="73">
      <x:c r="A73" s="11" t="n">
        <x:v>71</x:v>
      </x:c>
      <x:c r="B73" s="17" t="n">
        <x:v>6350</x:v>
      </x:c>
      <x:c r="C73" s="17" t="n">
        <x:v>160</x:v>
      </x:c>
      <x:c r="D73" s="19" t="n">
        <x:f>B73/'参数说明'!$B$4</x:f>
        <x:v>635</x:v>
      </x:c>
      <x:c r="E73" s="19" t="n">
        <x:f>D73/'参数说明'!$B$5</x:f>
        <x:v>211.66666666666666</x:v>
      </x:c>
      <x:c r="F73" s="21" t="n">
        <x:f>D73/'参数说明'!$B$6</x:f>
        <x:v>105.83333333333333</x:v>
      </x:c>
    </x:row>
    <x:row r="74">
      <x:c r="A74" s="11" t="n">
        <x:v>72</x:v>
      </x:c>
      <x:c r="B74" s="17" t="n">
        <x:v>6510</x:v>
      </x:c>
      <x:c r="C74" s="17" t="n">
        <x:v>160</x:v>
      </x:c>
      <x:c r="D74" s="19" t="n">
        <x:f>B74/'参数说明'!$B$4</x:f>
        <x:v>651</x:v>
      </x:c>
      <x:c r="E74" s="19" t="n">
        <x:f>D74/'参数说明'!$B$5</x:f>
        <x:v>217</x:v>
      </x:c>
      <x:c r="F74" s="21" t="n">
        <x:f>D74/'参数说明'!$B$6</x:f>
        <x:v>108.5</x:v>
      </x:c>
    </x:row>
    <x:row r="75">
      <x:c r="A75" s="11" t="n">
        <x:v>73</x:v>
      </x:c>
      <x:c r="B75" s="17" t="n">
        <x:v>6670</x:v>
      </x:c>
      <x:c r="C75" s="17" t="n">
        <x:v>155</x:v>
      </x:c>
      <x:c r="D75" s="19" t="n">
        <x:f>B75/'参数说明'!$B$4</x:f>
        <x:v>667</x:v>
      </x:c>
      <x:c r="E75" s="19" t="n">
        <x:f>D75/'参数说明'!$B$5</x:f>
        <x:v>222.33333333333334</x:v>
      </x:c>
      <x:c r="F75" s="21" t="n">
        <x:f>D75/'参数说明'!$B$6</x:f>
        <x:v>111.16666666666667</x:v>
      </x:c>
    </x:row>
    <x:row r="76">
      <x:c r="A76" s="11" t="n">
        <x:v>74</x:v>
      </x:c>
      <x:c r="B76" s="17" t="n">
        <x:v>6825</x:v>
      </x:c>
      <x:c r="C76" s="17" t="n">
        <x:v>160</x:v>
      </x:c>
      <x:c r="D76" s="19" t="n">
        <x:f>B76/'参数说明'!$B$4</x:f>
        <x:v>682.5</x:v>
      </x:c>
      <x:c r="E76" s="19" t="n">
        <x:f>D76/'参数说明'!$B$5</x:f>
        <x:v>227.5</x:v>
      </x:c>
      <x:c r="F76" s="21" t="n">
        <x:f>D76/'参数说明'!$B$6</x:f>
        <x:v>113.75</x:v>
      </x:c>
    </x:row>
    <x:row r="77">
      <x:c r="A77" s="11" t="n">
        <x:v>75</x:v>
      </x:c>
      <x:c r="B77" s="17" t="n">
        <x:v>6985</x:v>
      </x:c>
      <x:c r="C77" s="17" t="n">
        <x:v>160</x:v>
      </x:c>
      <x:c r="D77" s="19" t="n">
        <x:f>B77/'参数说明'!$B$4</x:f>
        <x:v>698.5</x:v>
      </x:c>
      <x:c r="E77" s="19" t="n">
        <x:f>D77/'参数说明'!$B$5</x:f>
        <x:v>232.83333333333334</x:v>
      </x:c>
      <x:c r="F77" s="21" t="n">
        <x:f>D77/'参数说明'!$B$6</x:f>
        <x:v>116.41666666666667</x:v>
      </x:c>
    </x:row>
    <x:row r="78">
      <x:c r="A78" s="11" t="n">
        <x:v>76</x:v>
      </x:c>
      <x:c r="B78" s="17" t="n">
        <x:v>7145</x:v>
      </x:c>
      <x:c r="C78" s="17" t="n">
        <x:v>160</x:v>
      </x:c>
      <x:c r="D78" s="19" t="n">
        <x:f>B78/'参数说明'!$B$4</x:f>
        <x:v>714.5</x:v>
      </x:c>
      <x:c r="E78" s="19" t="n">
        <x:f>D78/'参数说明'!$B$5</x:f>
        <x:v>238.16666666666666</x:v>
      </x:c>
      <x:c r="F78" s="21" t="n">
        <x:f>D78/'参数说明'!$B$6</x:f>
        <x:v>119.08333333333333</x:v>
      </x:c>
    </x:row>
    <x:row r="79">
      <x:c r="A79" s="11" t="n">
        <x:v>77</x:v>
      </x:c>
      <x:c r="B79" s="17" t="n">
        <x:v>7305</x:v>
      </x:c>
      <x:c r="C79" s="17" t="n">
        <x:v>155</x:v>
      </x:c>
      <x:c r="D79" s="19" t="n">
        <x:f>B79/'参数说明'!$B$4</x:f>
        <x:v>730.5</x:v>
      </x:c>
      <x:c r="E79" s="19" t="n">
        <x:f>D79/'参数说明'!$B$5</x:f>
        <x:v>243.5</x:v>
      </x:c>
      <x:c r="F79" s="21" t="n">
        <x:f>D79/'参数说明'!$B$6</x:f>
        <x:v>121.75</x:v>
      </x:c>
    </x:row>
    <x:row r="80">
      <x:c r="A80" s="11" t="n">
        <x:v>78</x:v>
      </x:c>
      <x:c r="B80" s="17" t="n">
        <x:v>7460</x:v>
      </x:c>
      <x:c r="C80" s="17" t="n">
        <x:v>160</x:v>
      </x:c>
      <x:c r="D80" s="19" t="n">
        <x:f>B80/'参数说明'!$B$4</x:f>
        <x:v>746</x:v>
      </x:c>
      <x:c r="E80" s="19" t="n">
        <x:f>D80/'参数说明'!$B$5</x:f>
        <x:v>248.66666666666666</x:v>
      </x:c>
      <x:c r="F80" s="21" t="n">
        <x:f>D80/'参数说明'!$B$6</x:f>
        <x:v>124.33333333333333</x:v>
      </x:c>
    </x:row>
    <x:row r="81">
      <x:c r="A81" s="11" t="n">
        <x:v>79</x:v>
      </x:c>
      <x:c r="B81" s="17" t="n">
        <x:v>7620</x:v>
      </x:c>
      <x:c r="C81" s="17" t="n">
        <x:v>160</x:v>
      </x:c>
      <x:c r="D81" s="19" t="n">
        <x:f>B81/'参数说明'!$B$4</x:f>
        <x:v>762</x:v>
      </x:c>
      <x:c r="E81" s="19" t="n">
        <x:f>D81/'参数说明'!$B$5</x:f>
        <x:v>254</x:v>
      </x:c>
      <x:c r="F81" s="21" t="n">
        <x:f>D81/'参数说明'!$B$6</x:f>
        <x:v>127</x:v>
      </x:c>
    </x:row>
    <x:row r="82">
      <x:c r="A82" s="11" t="n">
        <x:v>80</x:v>
      </x:c>
      <x:c r="B82" s="17" t="n">
        <x:v>7780</x:v>
      </x:c>
      <x:c r="C82" s="17" t="n">
        <x:v>155</x:v>
      </x:c>
      <x:c r="D82" s="19" t="n">
        <x:f>B82/'参数说明'!$B$4</x:f>
        <x:v>778</x:v>
      </x:c>
      <x:c r="E82" s="19" t="n">
        <x:f>D82/'参数说明'!$B$5</x:f>
        <x:v>259.3333333333333</x:v>
      </x:c>
      <x:c r="F82" s="21" t="n">
        <x:f>D82/'参数说明'!$B$6</x:f>
        <x:v>129.66666666666666</x:v>
      </x:c>
    </x:row>
    <x:row r="83">
      <x:c r="A83" s="11" t="n">
        <x:v>81</x:v>
      </x:c>
      <x:c r="B83" s="17" t="n">
        <x:v>7935</x:v>
      </x:c>
      <x:c r="C83" s="17" t="n">
        <x:v>160</x:v>
      </x:c>
      <x:c r="D83" s="19" t="n">
        <x:f>B83/'参数说明'!$B$4</x:f>
        <x:v>793.5</x:v>
      </x:c>
      <x:c r="E83" s="19" t="n">
        <x:f>D83/'参数说明'!$B$5</x:f>
        <x:v>264.5</x:v>
      </x:c>
      <x:c r="F83" s="21" t="n">
        <x:f>D83/'参数说明'!$B$6</x:f>
        <x:v>132.25</x:v>
      </x:c>
    </x:row>
    <x:row r="84">
      <x:c r="A84" s="11" t="n">
        <x:v>82</x:v>
      </x:c>
      <x:c r="B84" s="17" t="n">
        <x:v>8095</x:v>
      </x:c>
      <x:c r="C84" s="17" t="n">
        <x:v>160</x:v>
      </x:c>
      <x:c r="D84" s="19" t="n">
        <x:f>B84/'参数说明'!$B$4</x:f>
        <x:v>809.5</x:v>
      </x:c>
      <x:c r="E84" s="19" t="n">
        <x:f>D84/'参数说明'!$B$5</x:f>
        <x:v>269.8333333333333</x:v>
      </x:c>
      <x:c r="F84" s="21" t="n">
        <x:f>D84/'参数说明'!$B$6</x:f>
        <x:v>134.91666666666666</x:v>
      </x:c>
    </x:row>
    <x:row r="85">
      <x:c r="A85" s="11" t="n">
        <x:v>83</x:v>
      </x:c>
      <x:c r="B85" s="17" t="n">
        <x:v>8255</x:v>
      </x:c>
      <x:c r="C85" s="17" t="n">
        <x:v>160</x:v>
      </x:c>
      <x:c r="D85" s="19" t="n">
        <x:f>B85/'参数说明'!$B$4</x:f>
        <x:v>825.5</x:v>
      </x:c>
      <x:c r="E85" s="19" t="n">
        <x:f>D85/'参数说明'!$B$5</x:f>
        <x:v>275.1666666666667</x:v>
      </x:c>
      <x:c r="F85" s="21" t="n">
        <x:f>D85/'参数说明'!$B$6</x:f>
        <x:v>137.58333333333334</x:v>
      </x:c>
    </x:row>
    <x:row r="86">
      <x:c r="A86" s="11" t="n">
        <x:v>84</x:v>
      </x:c>
      <x:c r="B86" s="17" t="n">
        <x:v>8415</x:v>
      </x:c>
      <x:c r="C86" s="17" t="n">
        <x:v>155</x:v>
      </x:c>
      <x:c r="D86" s="19" t="n">
        <x:f>B86/'参数说明'!$B$4</x:f>
        <x:v>841.5</x:v>
      </x:c>
      <x:c r="E86" s="19" t="n">
        <x:f>D86/'参数说明'!$B$5</x:f>
        <x:v>280.5</x:v>
      </x:c>
      <x:c r="F86" s="21" t="n">
        <x:f>D86/'参数说明'!$B$6</x:f>
        <x:v>140.25</x:v>
      </x:c>
    </x:row>
    <x:row r="87">
      <x:c r="A87" s="11" t="n">
        <x:v>85</x:v>
      </x:c>
      <x:c r="B87" s="17" t="n">
        <x:v>8570</x:v>
      </x:c>
      <x:c r="C87" s="17" t="n">
        <x:v>160</x:v>
      </x:c>
      <x:c r="D87" s="19" t="n">
        <x:f>B87/'参数说明'!$B$4</x:f>
        <x:v>857</x:v>
      </x:c>
      <x:c r="E87" s="19" t="n">
        <x:f>D87/'参数说明'!$B$5</x:f>
        <x:v>285.6666666666667</x:v>
      </x:c>
      <x:c r="F87" s="21" t="n">
        <x:f>D87/'参数说明'!$B$6</x:f>
        <x:v>142.83333333333334</x:v>
      </x:c>
    </x:row>
    <x:row r="88">
      <x:c r="A88" s="11" t="n">
        <x:v>86</x:v>
      </x:c>
      <x:c r="B88" s="17" t="n">
        <x:v>8730</x:v>
      </x:c>
      <x:c r="C88" s="17" t="n">
        <x:v>160</x:v>
      </x:c>
      <x:c r="D88" s="19" t="n">
        <x:f>B88/'参数说明'!$B$4</x:f>
        <x:v>873</x:v>
      </x:c>
      <x:c r="E88" s="19" t="n">
        <x:f>D88/'参数说明'!$B$5</x:f>
        <x:v>291</x:v>
      </x:c>
      <x:c r="F88" s="21" t="n">
        <x:f>D88/'参数说明'!$B$6</x:f>
        <x:v>145.5</x:v>
      </x:c>
    </x:row>
    <x:row r="89">
      <x:c r="A89" s="11" t="n">
        <x:v>87</x:v>
      </x:c>
      <x:c r="B89" s="17" t="n">
        <x:v>8890</x:v>
      </x:c>
      <x:c r="C89" s="17" t="n">
        <x:v>155</x:v>
      </x:c>
      <x:c r="D89" s="19" t="n">
        <x:f>B89/'参数说明'!$B$4</x:f>
        <x:v>889</x:v>
      </x:c>
      <x:c r="E89" s="19" t="n">
        <x:f>D89/'参数说明'!$B$5</x:f>
        <x:v>296.3333333333333</x:v>
      </x:c>
      <x:c r="F89" s="21" t="n">
        <x:f>D89/'参数说明'!$B$6</x:f>
        <x:v>148.16666666666666</x:v>
      </x:c>
    </x:row>
    <x:row r="90">
      <x:c r="A90" s="11" t="n">
        <x:v>88</x:v>
      </x:c>
      <x:c r="B90" s="17" t="n">
        <x:v>9045</x:v>
      </x:c>
      <x:c r="C90" s="17" t="n">
        <x:v>160</x:v>
      </x:c>
      <x:c r="D90" s="19" t="n">
        <x:f>B90/'参数说明'!$B$4</x:f>
        <x:v>904.5</x:v>
      </x:c>
      <x:c r="E90" s="19" t="n">
        <x:f>D90/'参数说明'!$B$5</x:f>
        <x:v>301.5</x:v>
      </x:c>
      <x:c r="F90" s="21" t="n">
        <x:f>D90/'参数说明'!$B$6</x:f>
        <x:v>150.75</x:v>
      </x:c>
    </x:row>
    <x:row r="91">
      <x:c r="A91" s="11" t="n">
        <x:v>89</x:v>
      </x:c>
      <x:c r="B91" s="17" t="n">
        <x:v>9205</x:v>
      </x:c>
      <x:c r="C91" s="17" t="n">
        <x:v>160</x:v>
      </x:c>
      <x:c r="D91" s="19" t="n">
        <x:f>B91/'参数说明'!$B$4</x:f>
        <x:v>920.5</x:v>
      </x:c>
      <x:c r="E91" s="19" t="n">
        <x:f>D91/'参数说明'!$B$5</x:f>
        <x:v>306.8333333333333</x:v>
      </x:c>
      <x:c r="F91" s="21" t="n">
        <x:f>D91/'参数说明'!$B$6</x:f>
        <x:v>153.41666666666666</x:v>
      </x:c>
    </x:row>
    <x:row r="92">
      <x:c r="A92" s="11" t="n">
        <x:v>90</x:v>
      </x:c>
      <x:c r="B92" s="17" t="n">
        <x:v>9365</x:v>
      </x:c>
      <x:c r="C92" s="17" t="n">
        <x:v>160</x:v>
      </x:c>
      <x:c r="D92" s="19" t="n">
        <x:f>B92/'参数说明'!$B$4</x:f>
        <x:v>936.5</x:v>
      </x:c>
      <x:c r="E92" s="19" t="n">
        <x:f>D92/'参数说明'!$B$5</x:f>
        <x:v>312.1666666666667</x:v>
      </x:c>
      <x:c r="F92" s="21" t="n">
        <x:f>D92/'参数说明'!$B$6</x:f>
        <x:v>156.08333333333334</x:v>
      </x:c>
    </x:row>
    <x:row r="93">
      <x:c r="A93" s="11" t="n">
        <x:v>91</x:v>
      </x:c>
      <x:c r="B93" s="17" t="n">
        <x:v>9525</x:v>
      </x:c>
      <x:c r="C93" s="17" t="n">
        <x:v>155</x:v>
      </x:c>
      <x:c r="D93" s="19" t="n">
        <x:f>B93/'参数说明'!$B$4</x:f>
        <x:v>952.5</x:v>
      </x:c>
      <x:c r="E93" s="19" t="n">
        <x:f>D93/'参数说明'!$B$5</x:f>
        <x:v>317.5</x:v>
      </x:c>
      <x:c r="F93" s="21" t="n">
        <x:f>D93/'参数说明'!$B$6</x:f>
        <x:v>158.75</x:v>
      </x:c>
    </x:row>
    <x:row r="94">
      <x:c r="A94" s="11" t="n">
        <x:v>92</x:v>
      </x:c>
      <x:c r="B94" s="17" t="n">
        <x:v>9680</x:v>
      </x:c>
      <x:c r="C94" s="17" t="n">
        <x:v>160</x:v>
      </x:c>
      <x:c r="D94" s="19" t="n">
        <x:f>B94/'参数说明'!$B$4</x:f>
        <x:v>968</x:v>
      </x:c>
      <x:c r="E94" s="19" t="n">
        <x:f>D94/'参数说明'!$B$5</x:f>
        <x:v>322.6666666666667</x:v>
      </x:c>
      <x:c r="F94" s="21" t="n">
        <x:f>D94/'参数说明'!$B$6</x:f>
        <x:v>161.33333333333334</x:v>
      </x:c>
    </x:row>
    <x:row r="95">
      <x:c r="A95" s="11" t="n">
        <x:v>93</x:v>
      </x:c>
      <x:c r="B95" s="17" t="n">
        <x:v>9840</x:v>
      </x:c>
      <x:c r="C95" s="17" t="n">
        <x:v>160</x:v>
      </x:c>
      <x:c r="D95" s="19" t="n">
        <x:f>B95/'参数说明'!$B$4</x:f>
        <x:v>984</x:v>
      </x:c>
      <x:c r="E95" s="19" t="n">
        <x:f>D95/'参数说明'!$B$5</x:f>
        <x:v>328</x:v>
      </x:c>
      <x:c r="F95" s="21" t="n">
        <x:f>D95/'参数说明'!$B$6</x:f>
        <x:v>164</x:v>
      </x:c>
    </x:row>
    <x:row r="96">
      <x:c r="A96" s="11" t="n">
        <x:v>94</x:v>
      </x:c>
      <x:c r="B96" s="17" t="n">
        <x:v>10000</x:v>
      </x:c>
      <x:c r="C96" s="17" t="n">
        <x:v>155</x:v>
      </x:c>
      <x:c r="D96" s="19" t="n">
        <x:f>B96/'参数说明'!$B$4</x:f>
        <x:v>1000</x:v>
      </x:c>
      <x:c r="E96" s="19" t="n">
        <x:f>D96/'参数说明'!$B$5</x:f>
        <x:v>333.3333333333333</x:v>
      </x:c>
      <x:c r="F96" s="21" t="n">
        <x:f>D96/'参数说明'!$B$6</x:f>
        <x:v>166.66666666666666</x:v>
      </x:c>
    </x:row>
    <x:row r="97">
      <x:c r="A97" s="11" t="n">
        <x:v>95</x:v>
      </x:c>
      <x:c r="B97" s="17" t="n">
        <x:v>10155</x:v>
      </x:c>
      <x:c r="C97" s="17" t="n">
        <x:v>160</x:v>
      </x:c>
      <x:c r="D97" s="19" t="n">
        <x:f>B97/'参数说明'!$B$4</x:f>
        <x:v>1015.5</x:v>
      </x:c>
      <x:c r="E97" s="19" t="n">
        <x:f>D97/'参数说明'!$B$5</x:f>
        <x:v>338.5</x:v>
      </x:c>
      <x:c r="F97" s="21" t="n">
        <x:f>D97/'参数说明'!$B$6</x:f>
        <x:v>169.25</x:v>
      </x:c>
    </x:row>
    <x:row r="98">
      <x:c r="A98" s="11" t="n">
        <x:v>96</x:v>
      </x:c>
      <x:c r="B98" s="17" t="n">
        <x:v>10315</x:v>
      </x:c>
      <x:c r="C98" s="17" t="n">
        <x:v>160</x:v>
      </x:c>
      <x:c r="D98" s="19" t="n">
        <x:f>B98/'参数说明'!$B$4</x:f>
        <x:v>1031.5</x:v>
      </x:c>
      <x:c r="E98" s="19" t="n">
        <x:f>D98/'参数说明'!$B$5</x:f>
        <x:v>343.8333333333333</x:v>
      </x:c>
      <x:c r="F98" s="21" t="n">
        <x:f>D98/'参数说明'!$B$6</x:f>
        <x:v>171.91666666666666</x:v>
      </x:c>
    </x:row>
    <x:row r="99">
      <x:c r="A99" s="11" t="n">
        <x:v>97</x:v>
      </x:c>
      <x:c r="B99" s="17" t="n">
        <x:v>10475</x:v>
      </x:c>
      <x:c r="C99" s="17" t="n">
        <x:v>160</x:v>
      </x:c>
      <x:c r="D99" s="19" t="n">
        <x:f>B99/'参数说明'!$B$4</x:f>
        <x:v>1047.5</x:v>
      </x:c>
      <x:c r="E99" s="19" t="n">
        <x:f>D99/'参数说明'!$B$5</x:f>
        <x:v>349.1666666666667</x:v>
      </x:c>
      <x:c r="F99" s="21" t="n">
        <x:f>D99/'参数说明'!$B$6</x:f>
        <x:v>174.58333333333334</x:v>
      </x:c>
    </x:row>
    <x:row r="100">
      <x:c r="A100" s="11" t="n">
        <x:v>98</x:v>
      </x:c>
      <x:c r="B100" s="17" t="n">
        <x:v>10635</x:v>
      </x:c>
      <x:c r="C100" s="17" t="n">
        <x:v>155</x:v>
      </x:c>
      <x:c r="D100" s="19" t="n">
        <x:f>B100/'参数说明'!$B$4</x:f>
        <x:v>1063.5</x:v>
      </x:c>
      <x:c r="E100" s="19" t="n">
        <x:f>D100/'参数说明'!$B$5</x:f>
        <x:v>354.5</x:v>
      </x:c>
      <x:c r="F100" s="21" t="n">
        <x:f>D100/'参数说明'!$B$6</x:f>
        <x:v>177.25</x:v>
      </x:c>
    </x:row>
    <x:row r="101">
      <x:c r="A101" s="11" t="n">
        <x:v>99</x:v>
      </x:c>
      <x:c r="B101" s="17" t="n">
        <x:v>10790</x:v>
      </x:c>
      <x:c r="C101" s="17" t="n">
        <x:v>160</x:v>
      </x:c>
      <x:c r="D101" s="19" t="n">
        <x:f>B101/'参数说明'!$B$4</x:f>
        <x:v>1079</x:v>
      </x:c>
      <x:c r="E101" s="19" t="n">
        <x:f>D101/'参数说明'!$B$5</x:f>
        <x:v>359.6666666666667</x:v>
      </x:c>
      <x:c r="F101" s="21" t="n">
        <x:f>D101/'参数说明'!$B$6</x:f>
        <x:v>179.83333333333334</x:v>
      </x:c>
    </x:row>
    <x:row r="102">
      <x:c r="A102" s="14" t="n">
        <x:v>100</x:v>
      </x:c>
      <x:c r="B102" s="18" t="n">
        <x:v>10950</x:v>
      </x:c>
      <x:c r="C102" s="18" t="n">
        <x:v>170</x:v>
      </x:c>
      <x:c r="D102" s="20" t="n">
        <x:f>B102/'参数说明'!$B$4</x:f>
        <x:v>1095</x:v>
      </x:c>
      <x:c r="E102" s="20" t="n">
        <x:f>D102/'参数说明'!$B$5</x:f>
        <x:v>365</x:v>
      </x:c>
      <x:c r="F102" s="22" t="n">
        <x:f>D102/'参数说明'!$B$6</x:f>
        <x:v>182.5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12" hidden="0" customWidth="1"/>
  </x:cols>
  <x:sheetData>
    <x:row r="1" ht="28" customHeight="1">
      <x:c r="A1" s="2" t="str">
        <x:v>等级经验系统参数</x:v>
      </x:c>
      <x:c r="B1" s="33"/>
      <x:c r="C1" s="33"/>
      <x:c r="D1" s="33"/>
    </x:row>
    <x:row r="3">
      <x:c r="A3" s="27" t="str">
        <x:v>参数</x:v>
      </x:c>
      <x:c r="B3" s="27" t="str">
        <x:v>值</x:v>
      </x:c>
    </x:row>
    <x:row r="4">
      <x:c r="A4" s="25" t="str">
        <x:v>单 lesson XP</x:v>
      </x:c>
      <x:c r="B4" s="34" t="n">
        <x:v>10</x:v>
      </x:c>
    </x:row>
    <x:row r="5">
      <x:c r="A5" s="25" t="str">
        <x:v>普通用户每日 lesson</x:v>
      </x:c>
      <x:c r="B5" s="35" t="n">
        <x:v>3</x:v>
      </x:c>
    </x:row>
    <x:row r="6">
      <x:c r="A6" s="25" t="str">
        <x:v>深度用户每日 lesson</x:v>
      </x:c>
      <x:c r="B6" s="35" t="n">
        <x:v>6</x:v>
      </x:c>
    </x:row>
    <x:row r="7">
      <x:c r="A7" s="25" t="str">
        <x:v>普通用户每日 XP</x:v>
      </x:c>
      <x:c r="B7" s="34" t="n">
        <x:f>B4*B5</x:f>
        <x:v>30</x:v>
      </x:c>
    </x:row>
    <x:row r="8">
      <x:c r="A8" s="25" t="str">
        <x:v>深度用户每日 XP</x:v>
      </x:c>
      <x:c r="B8" s="34" t="n">
        <x:f>B4*B6</x:f>
        <x:v>60</x:v>
      </x:c>
    </x:row>
    <x:row r="9">
      <x:c r="A9" s="25" t="str">
        <x:v>等级上限</x:v>
      </x:c>
      <x:c r="B9" s="34" t="n">
        <x:v>100</x:v>
      </x:c>
    </x:row>
    <x:row r="10">
      <x:c r="A10" s="25" t="str">
        <x:v>留存标准</x:v>
      </x:c>
      <x:c r="B10" s="25" t="str">
        <x:v>次留 50%，7 留 35%，30 留 20%</x:v>
      </x:c>
    </x:row>
    <x:row r="12">
      <x:c r="A12" s="27" t="str">
        <x:v>等级锚点</x:v>
      </x:c>
      <x:c r="B12" s="27" t="str">
        <x:v>累计 XP</x:v>
      </x:c>
      <x:c r="C12" s="27" t="str">
        <x:v>说明</x:v>
      </x:c>
    </x:row>
    <x:row r="13">
      <x:c r="A13" s="25" t="str">
        <x:v>Lv0</x:v>
      </x:c>
      <x:c r="B13" s="34" t="n">
        <x:v>0</x:v>
      </x:c>
      <x:c r="C13" s="25" t="str">
        <x:v>初始等级</x:v>
      </x:c>
    </x:row>
    <x:row r="14">
      <x:c r="A14" s="25" t="str">
        <x:v>Lv3</x:v>
      </x:c>
      <x:c r="B14" s="34" t="n">
        <x:v>30</x:v>
      </x:c>
      <x:c r="C14" s="25" t="str">
        <x:v>普通用户首日约到 Lv3</x:v>
      </x:c>
    </x:row>
    <x:row r="15">
      <x:c r="A15" s="25" t="str">
        <x:v>Lv10</x:v>
      </x:c>
      <x:c r="B15" s="34" t="n">
        <x:v>210</x:v>
      </x:c>
      <x:c r="C15" s="25" t="str">
        <x:v>普通用户 7 日约到 Lv10</x:v>
      </x:c>
    </x:row>
    <x:row r="16">
      <x:c r="A16" s="25" t="str">
        <x:v>Lv25</x:v>
      </x:c>
      <x:c r="B16" s="34" t="n">
        <x:v>900</x:v>
      </x:c>
      <x:c r="C16" s="25" t="str">
        <x:v>普通用户 30 日约到 Lv25</x:v>
      </x:c>
    </x:row>
    <x:row r="17">
      <x:c r="A17" s="25" t="str">
        <x:v>Lv45</x:v>
      </x:c>
      <x:c r="B17" s="34" t="n">
        <x:v>2700</x:v>
      </x:c>
      <x:c r="C17" s="25" t="str">
        <x:v>普通用户 90 日约到 Lv45</x:v>
      </x:c>
    </x:row>
    <x:row r="18">
      <x:c r="A18" s="25" t="str">
        <x:v>Lv65</x:v>
      </x:c>
      <x:c r="B18" s="34" t="n">
        <x:v>5400</x:v>
      </x:c>
      <x:c r="C18" s="25" t="str">
        <x:v>普通用户 180 日约到 Lv65</x:v>
      </x:c>
    </x:row>
    <x:row r="19">
      <x:c r="A19" s="25" t="str">
        <x:v>Lv100</x:v>
      </x:c>
      <x:c r="B19" s="34" t="n">
        <x:v>10950</x:v>
      </x:c>
      <x:c r="C19" s="25" t="str">
        <x:v>普通用户 365 日约到 Lv100</x:v>
      </x:c>
    </x:row>
    <x:row r="20">
      <x:c r="A20" s="32" t="str">
        <x:v>口径说明</x:v>
      </x:c>
      <x:c r="B20" s="28" t="str"/>
      <x:c r="C20" s="28" t="str"/>
      <x:c r="D20" s="28" t="str"/>
    </x:row>
    <x:row r="21">
      <x:c r="A21" s="29" t="str">
        <x:v>1</x:v>
      </x:c>
      <x:c r="B21" s="29" t="str">
        <x:v>等级节奏主要锚定留存用户的活跃日学习行为。</x:v>
      </x:c>
      <x:c r="C21" s="29" t="str"/>
      <x:c r="D21" s="29" t="str"/>
    </x:row>
    <x:row r="22">
      <x:c r="A22" s="29" t="str">
        <x:v>2</x:v>
      </x:c>
      <x:c r="B22" s="29" t="str">
        <x:v>留存率用于估算整体注册 cohort 的期望 XP，不直接压低单个活跃用户升级体验。</x:v>
      </x:c>
      <x:c r="C22" s="29" t="str"/>
      <x:c r="D22" s="29" t="str"/>
    </x:row>
    <x:row r="23">
      <x:c r="A23" s="29" t="str">
        <x:v>3</x:v>
      </x:c>
      <x:c r="B23" s="29" t="str">
        <x:v>30 天后的留存未提供，留存节奏 sheet 暂按 20% 延续。</x:v>
      </x:c>
      <x:c r="C23" s="29" t="str"/>
      <x:c r="D23" s="29" t="str"/>
    </x:row>
    <x:row r="24">
      <x:c r="A24" s="29" t="str">
        <x:v>4</x:v>
      </x:c>
      <x:c r="B24" s="29" t="str">
        <x:v>如果后续实际人均 lesson 或留存变化，优先调整参数与锚点。</x:v>
      </x:c>
      <x:c r="C24" s="29" t="str"/>
      <x:c r="D24" s="29" t="str"/>
    </x:row>
    <x:row r="25">
      <x:c r="A25" s="30" t="str">
        <x:v>5</x:v>
      </x:c>
      <x:c r="B25" s="30" t="str">
        <x:v>100 级约等于普通用户 365 天、深度用户 183 天的长期目标。</x:v>
      </x:c>
      <x:c r="C25" s="30" t="str"/>
      <x:c r="D25" s="30" t="str"/>
    </x:row>
  </x:sheetData>
  <x:mergeCells>
    <x:mergeCell ref="A1:D1"/>
    <x:mergeCell ref="A20:D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36" t="str">
        <x:v>周期</x:v>
      </x:c>
      <x:c r="B1" s="36" t="str">
        <x:v>留存率</x:v>
      </x:c>
      <x:c r="C1" s="36" t="str">
        <x:v>普通用户活跃 XP</x:v>
      </x:c>
      <x:c r="D1" s="36" t="str">
        <x:v>普通用户目标等级</x:v>
      </x:c>
      <x:c r="E1" s="36" t="str">
        <x:v>深度用户活跃 XP</x:v>
      </x:c>
      <x:c r="F1" s="36" t="str">
        <x:v>深度用户目标等级</x:v>
      </x:c>
      <x:c r="G1" s="36" t="str">
        <x:v>注册 cohort 期望 XP</x:v>
      </x:c>
    </x:row>
    <x:row r="2">
      <x:c r="A2" s="25" t="str">
        <x:v>D1</x:v>
      </x:c>
      <x:c r="B2" s="37" t="n">
        <x:v>0.5</x:v>
      </x:c>
      <x:c r="C2" s="34" t="n">
        <x:v>30</x:v>
      </x:c>
      <x:c r="D2" s="34" t="n">
        <x:f>LOOKUP(C2,'等级经验对照表'!$B$2:$B$102,'等级经验对照表'!$A$2:$A$102)</x:f>
        <x:v>3</x:v>
      </x:c>
      <x:c r="E2" s="34" t="n">
        <x:v>60</x:v>
      </x:c>
      <x:c r="F2" s="34" t="n">
        <x:f>LOOKUP(E2,'等级经验对照表'!$B$2:$B$102,'等级经验对照表'!$A$2:$A$102)</x:f>
        <x:v>4</x:v>
      </x:c>
      <x:c r="G2" s="34" t="n">
        <x:v>15</x:v>
      </x:c>
    </x:row>
    <x:row r="3">
      <x:c r="A3" s="25" t="str">
        <x:v>D7</x:v>
      </x:c>
      <x:c r="B3" s="37" t="n">
        <x:v>0.35</x:v>
      </x:c>
      <x:c r="C3" s="34" t="n">
        <x:v>210</x:v>
      </x:c>
      <x:c r="D3" s="34" t="n">
        <x:f>LOOKUP(C3,'等级经验对照表'!$B$2:$B$102,'等级经验对照表'!$A$2:$A$102)</x:f>
        <x:v>10</x:v>
      </x:c>
      <x:c r="E3" s="34" t="n">
        <x:v>420</x:v>
      </x:c>
      <x:c r="F3" s="34" t="n">
        <x:f>LOOKUP(E3,'等级经验对照表'!$B$2:$B$102,'等级经验对照表'!$A$2:$A$102)</x:f>
        <x:v>14</x:v>
      </x:c>
      <x:c r="G3" s="34" t="n">
        <x:v>89</x:v>
      </x:c>
    </x:row>
    <x:row r="4">
      <x:c r="A4" s="25" t="str">
        <x:v>D30</x:v>
      </x:c>
      <x:c r="B4" s="37" t="n">
        <x:v>0.2</x:v>
      </x:c>
      <x:c r="C4" s="34" t="n">
        <x:v>900</x:v>
      </x:c>
      <x:c r="D4" s="34" t="n">
        <x:f>LOOKUP(C4,'等级经验对照表'!$B$2:$B$102,'等级经验对照表'!$A$2:$A$102)</x:f>
        <x:v>25</x:v>
      </x:c>
      <x:c r="E4" s="34" t="n">
        <x:v>1800</x:v>
      </x:c>
      <x:c r="F4" s="34" t="n">
        <x:f>LOOKUP(E4,'等级经验对照表'!$B$2:$B$102,'等级经验对照表'!$A$2:$A$102)</x:f>
        <x:v>35</x:v>
      </x:c>
      <x:c r="G4" s="34" t="n">
        <x:v>277</x:v>
      </x:c>
    </x:row>
    <x:row r="5">
      <x:c r="A5" s="25" t="str">
        <x:v>D90</x:v>
      </x:c>
      <x:c r="B5" s="37" t="n">
        <x:v>0.2</x:v>
      </x:c>
      <x:c r="C5" s="34" t="n">
        <x:v>2700</x:v>
      </x:c>
      <x:c r="D5" s="34" t="n">
        <x:f>LOOKUP(C5,'等级经验对照表'!$B$2:$B$102,'等级经验对照表'!$A$2:$A$102)</x:f>
        <x:v>45</x:v>
      </x:c>
      <x:c r="E5" s="34" t="n">
        <x:v>5400</x:v>
      </x:c>
      <x:c r="F5" s="34" t="n">
        <x:f>LOOKUP(E5,'等级经验对照表'!$B$2:$B$102,'等级经验对照表'!$A$2:$A$102)</x:f>
        <x:v>65</x:v>
      </x:c>
      <x:c r="G5" s="34" t="n">
        <x:v>637</x:v>
      </x:c>
    </x:row>
    <x:row r="6">
      <x:c r="A6" s="25" t="str">
        <x:v>D180</x:v>
      </x:c>
      <x:c r="B6" s="37" t="n">
        <x:v>0.2</x:v>
      </x:c>
      <x:c r="C6" s="34" t="n">
        <x:v>5400</x:v>
      </x:c>
      <x:c r="D6" s="34" t="n">
        <x:f>LOOKUP(C6,'等级经验对照表'!$B$2:$B$102,'等级经验对照表'!$A$2:$A$102)</x:f>
        <x:v>65</x:v>
      </x:c>
      <x:c r="E6" s="34" t="n">
        <x:v>10800</x:v>
      </x:c>
      <x:c r="F6" s="34" t="n">
        <x:f>LOOKUP(E6,'等级经验对照表'!$B$2:$B$102,'等级经验对照表'!$A$2:$A$102)</x:f>
        <x:v>99</x:v>
      </x:c>
      <x:c r="G6" s="34" t="n">
        <x:v>1177</x:v>
      </x:c>
    </x:row>
    <x:row r="7">
      <x:c r="A7" s="25" t="str">
        <x:v>D365</x:v>
      </x:c>
      <x:c r="B7" s="37" t="n">
        <x:v>0.2</x:v>
      </x:c>
      <x:c r="C7" s="34" t="n">
        <x:v>10950</x:v>
      </x:c>
      <x:c r="D7" s="34" t="n">
        <x:f>LOOKUP(C7,'等级经验对照表'!$B$2:$B$102,'等级经验对照表'!$A$2:$A$102)</x:f>
        <x:v>100</x:v>
      </x:c>
      <x:c r="E7" s="34" t="n">
        <x:v>21900</x:v>
      </x:c>
      <x:c r="F7" s="34" t="n">
        <x:f>LOOKUP(E7,'等级经验对照表'!$B$2:$B$102,'等级经验对照表'!$A$2:$A$102)</x:f>
        <x:v>100</x:v>
      </x:c>
      <x:c r="G7" s="34" t="n">
        <x:v>2287</x:v>
      </x:c>
    </x:row>
  </x:sheetData>
  <x:pageMargins left="0.7" right="0.7" top="0.75" bottom="0.75" header="0.3" footer="0.3"/>
</x:worksheet>
</file>