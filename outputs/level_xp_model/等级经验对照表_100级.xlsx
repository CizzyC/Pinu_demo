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4fe75fd3a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等级经验对照表" sheetId="1" r:id="R400e49329fb14f6a"/>
    <x:sheet xmlns:r="http://schemas.openxmlformats.org/officeDocument/2006/relationships" name="参数说明" sheetId="2" r:id="Rfb1dbdaf2926446e"/>
    <x:sheet xmlns:r="http://schemas.openxmlformats.org/officeDocument/2006/relationships" name="留存节奏" sheetId="3" r:id="Rfb219d567cec44bd"/>
    <x:sheet xmlns:r="http://schemas.openxmlformats.org/officeDocument/2006/relationships" name="等级成长曲线" sheetId="4" r:id="R0ab043113214430a"/>
    <x:sheet xmlns:r="http://schemas.openxmlformats.org/officeDocument/2006/relationships" name="第一版XP规则" sheetId="5" r:id="R53a631ca23a04611"/>
    <x:sheet xmlns:r="http://schemas.openxmlformats.org/officeDocument/2006/relationships" name="排行榜奖励" sheetId="6" r:id="Rf337af0ec2ae4ee1"/>
    <x:sheet xmlns:r="http://schemas.openxmlformats.org/officeDocument/2006/relationships" name="数据校准与XP膨胀模型" sheetId="7" r:id="Ra7f109cce883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0.0%"/>
    <x:numFmt numFmtId="203" formatCode="0%"/>
    <x:numFmt numFmtId="204" formatCode="0.00"/>
  </x:numFmts>
  <x:fonts count="7">
    <x:font>
      <x:sz val="11"/>
      <x:name val="Carlito"/>
    </x:font>
    <x:font>
      <x:b/>
      <x:sz val="11"/>
      <x:color rgb="FF111827"/>
      <x:name val="Arial"/>
    </x:font>
    <x:font>
      <x:sz val="11"/>
      <x:name val="Arial"/>
    </x:font>
    <x:font>
      <x:b/>
      <x:sz val="16"/>
      <x:color rgb="FF111827"/>
      <x:name val="Arial"/>
    </x:font>
    <x:font>
      <x:sz val="11"/>
      <x:color rgb="FF111827"/>
      <x:name val="Arial"/>
    </x:font>
    <x:font>
      <x:b/>
      <x:sz val="11"/>
      <x:color rgb="FF111827"/>
      <x:name val="Carlito"/>
    </x:font>
    <x:font>
      <x:b/>
      <x:sz val="12"/>
      <x:color rgb="FF111827"/>
      <x:name val="Arial"/>
    </x:font>
  </x:fonts>
  <x:fills count="2">
    <x:fill>
      <x:patternFill patternType="none"/>
    </x:fill>
    <x:fill>
      <x:patternFill patternType="gray125"/>
    </x:fill>
  </x:fills>
  <x:borders count="14">
    <x:border/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D1D5D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D1D5DB"/>
      </x:bottom>
    </x:border>
    <x:border>
      <x:left style="thin">
        <x:color rgb="FFEEF2F7"/>
      </x:lef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right"/>
    </x:xf>
    <x:xf numFmtId="0" fontId="1" borderId="1" xfId="0" applyNumberFormat="1" applyFont="1" applyFill="0" applyBorder="1" applyAlignment="1">
      <x:alignment horizontal="center"/>
    </x:xf>
    <x:xf numFmtId="0" fontId="1" borderId="2" xfId="0" applyNumberFormat="1" applyFont="1" applyFill="0" applyBorder="1" applyAlignment="1">
      <x:alignment horizontal="center"/>
    </x:xf>
    <x:xf numFmtId="0" fontId="1" borderId="3" xfId="0" applyNumberFormat="1" applyFont="1" applyFill="0" applyBorder="1" applyAlignment="1">
      <x:alignment horizont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right"/>
    </x:xf>
    <x:xf numFmtId="0" fontId="2" fillId="0" borderId="6" xfId="0" applyNumberFormat="1" applyFont="1" applyFill="1" applyBorder="1" applyAlignment="1">
      <x:alignment horizontal="right"/>
    </x:xf>
    <x:xf numFmtId="0" fontId="2" fillId="0" borderId="7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horizontal="right"/>
    </x:xf>
    <x:xf numFmtId="0" fontId="2" fillId="0" borderId="9" xfId="0" applyNumberFormat="1" applyFont="1" applyFill="1" applyBorder="1" applyAlignment="1">
      <x:alignment horizontal="right"/>
    </x:xf>
    <x:xf numFmtId="200" fontId="2" fillId="0" borderId="5" xfId="0" applyNumberFormat="1" applyFont="1" applyFill="1" applyBorder="1" applyAlignment="1">
      <x:alignment horizontal="right"/>
    </x:xf>
    <x:xf numFmtId="200" fontId="2" fillId="0" borderId="8" xfId="0" applyNumberFormat="1" applyFont="1" applyFill="1" applyBorder="1" applyAlignment="1">
      <x:alignment horizontal="right"/>
    </x:xf>
    <x:xf numFmtId="201" fontId="2" fillId="0" borderId="5" xfId="0" applyNumberFormat="1" applyFont="1" applyFill="1" applyBorder="1" applyAlignment="1">
      <x:alignment horizontal="right"/>
    </x:xf>
    <x:xf numFmtId="201" fontId="2" fillId="0" borderId="8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  <x:xf numFmtId="201" fontId="2" fillId="0" borderId="9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vertical="center"/>
    </x:xf>
    <x:xf numFmtId="0" fontId="0" fillId="0" borderId="10" xfId="0" applyNumberFormat="1" applyFont="1" applyFill="1" applyBorder="1"/>
    <x:xf numFmtId="0" fontId="4" fillId="0" borderId="10" xfId="0" applyNumberFormat="1" applyFont="1" applyFill="1" applyBorder="1"/>
    <x:xf numFmtId="0" fontId="4" borderId="10" xfId="0" applyNumberFormat="1" applyFont="1" applyFill="0" applyBorder="1"/>
    <x:xf numFmtId="0" fontId="1" borderId="10" xfId="0" applyNumberFormat="1" applyFont="1" applyFill="0" applyBorder="1"/>
    <x:xf numFmtId="0" fontId="1" borderId="10" xfId="0" applyNumberFormat="1" applyFont="1" applyFill="0" applyBorder="1" applyAlignment="1">
      <x:alignment horizontal="center"/>
    </x:xf>
    <x:xf numFmtId="0" fontId="1" borderId="10" xfId="0" applyNumberFormat="1" applyFont="1" applyFill="0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borderId="11" xfId="0" applyNumberFormat="1" applyFont="1" applyFill="0" applyBorder="1"/>
    <x:xf numFmtId="0" fontId="5" borderId="11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fillId="0" borderId="0" xfId="0" applyNumberFormat="1" applyFont="1" applyFill="1" applyBorder="1"/>
    <x:xf numFmtId="20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borderId="0" xfId="0" applyNumberFormat="1" applyFont="1" applyFill="0" applyBorder="1"/>
    <x:xf numFmtId="0" fontId="0" fillId="0" borderId="10" xfId="0" applyNumberFormat="1" applyFont="1" applyFill="1" applyBorder="1" applyAlignment="1">
      <x:alignment wrapText="1"/>
    </x:xf>
    <x:xf numFmtId="203" fontId="4" fillId="0" borderId="10" xfId="0" applyNumberFormat="1" applyFont="1" applyFill="1" applyBorder="1" applyAlignment="1">
      <x:alignment vertical="center"/>
    </x:xf>
    <x:xf numFmtId="0" fontId="1" borderId="10" xfId="0" applyNumberFormat="1" applyFont="1" applyFill="0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borderId="0" xfId="0" applyNumberFormat="1" applyFont="1" applyFill="0" applyBorder="1" applyAlignment="1">
      <x:alignment wrapText="1"/>
    </x:xf>
    <x:xf numFmtId="203" fontId="4" fillId="0" borderId="10" xfId="0" applyNumberFormat="1" applyFont="1" applyFill="1" applyBorder="1" applyAlignment="1">
      <x:alignment vertical="center" wrapText="1"/>
    </x:xf>
    <x:xf numFmtId="204" fontId="4" fillId="0" borderId="10" xfId="0" applyNumberFormat="1" applyFont="1" applyFill="1" applyBorder="1" applyAlignment="1">
      <x:alignment vertical="center"/>
    </x:xf>
    <x:xf numFmtId="204" fontId="4" fillId="0" borderId="10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2" fontId="4" fillId="0" borderId="10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0" fontId="0" borderId="10" xfId="0" applyNumberFormat="1" applyFont="1" applyFill="0" applyBorder="1"/>
    <x:xf numFmtId="0" fontId="5" borderId="10" xfId="0" applyNumberFormat="1" applyFont="1" applyFill="0" applyBorder="1"/>
    <x:xf numFmtId="0" fontId="5" borderId="10" xfId="0" applyNumberFormat="1" applyFont="1" applyFill="0" applyBorder="1" applyAlignment="1">
      <x:alignment wrapText="1"/>
    </x:xf>
    <x:xf numFmtId="0" fontId="4" fillId="0" borderId="0" xfId="0" applyNumberFormat="1" applyFont="1" applyFill="1" applyBorder="1"/>
    <x:xf numFmtId="0" fontId="1" borderId="11" xfId="0" applyNumberFormat="1" applyFont="1" applyFill="0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1" borderId="1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78d40936a49bd" /><Relationship Type="http://schemas.openxmlformats.org/officeDocument/2006/relationships/theme" Target="/xl/theme/theme1.xml" Id="Rbf64ddec094f4041" /><Relationship Type="http://schemas.openxmlformats.org/officeDocument/2006/relationships/sharedStrings" Target="/xl/sharedStrings.xml" Id="Rd27dc54640fb45d7" /><Relationship Type="http://schemas.openxmlformats.org/officeDocument/2006/relationships/worksheet" Target="/xl/worksheets/sheet1.xml" Id="R400e49329fb14f6a" /><Relationship Type="http://schemas.openxmlformats.org/officeDocument/2006/relationships/worksheet" Target="/xl/worksheets/sheet2.xml" Id="Rfb1dbdaf2926446e" /><Relationship Type="http://schemas.openxmlformats.org/officeDocument/2006/relationships/worksheet" Target="/xl/worksheets/sheet3.xml" Id="Rfb219d567cec44bd" /><Relationship Type="http://schemas.openxmlformats.org/officeDocument/2006/relationships/worksheet" Target="/xl/worksheets/sheet4.xml" Id="R0ab043113214430a" /><Relationship Type="http://schemas.openxmlformats.org/officeDocument/2006/relationships/worksheet" Target="/xl/worksheets/sheet5.xml" Id="R53a631ca23a04611" /><Relationship Type="http://schemas.openxmlformats.org/officeDocument/2006/relationships/worksheet" Target="/xl/worksheets/sheet6.xml" Id="Rf337af0ec2ae4ee1" /><Relationship Type="http://schemas.openxmlformats.org/officeDocument/2006/relationships/worksheet" Target="/xl/worksheets/sheet7.xml" Id="Ra7f109cce883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16" hidden="0" customWidth="1"/>
    <x:col min="5" max="5" width="17" hidden="0" customWidth="1"/>
    <x:col min="6" max="6" width="17" hidden="0" customWidth="1"/>
  </x:cols>
  <x:sheetData>
    <x:row r="1" ht="28" customHeight="1">
      <x:c r="A1" s="8" t="str">
        <x:v>等级</x:v>
      </x:c>
      <x:c r="B1" s="9" t="str">
        <x:v>累计 XP</x:v>
      </x:c>
      <x:c r="C1" s="9" t="str">
        <x:v>升级所需 XP</x:v>
      </x:c>
      <x:c r="D1" s="9" t="str">
        <x:v>约学习 level</x:v>
      </x:c>
      <x:c r="E1" s="9" t="str">
        <x:v>普通用户约天数</x:v>
      </x:c>
      <x:c r="F1" s="10" t="str">
        <x:v>深度用户约天数</x:v>
      </x:c>
    </x:row>
    <x:row r="2">
      <x:c r="A2" s="11" t="n">
        <x:v>0</x:v>
      </x:c>
      <x:c r="B2" s="17" t="n">
        <x:v>0</x:v>
      </x:c>
      <x:c r="C2" s="17" t="n">
        <x:v>10</x:v>
      </x:c>
      <x:c r="D2" s="19" t="n">
        <x:f>B2/'参数说明'!$B$4</x:f>
        <x:v>0</x:v>
      </x:c>
      <x:c r="E2" s="19" t="n">
        <x:f>D2/'参数说明'!$B$5</x:f>
        <x:v>0</x:v>
      </x:c>
      <x:c r="F2" s="21" t="n">
        <x:f>D2/'参数说明'!$B$6</x:f>
        <x:v>0</x:v>
      </x:c>
    </x:row>
    <x:row r="3">
      <x:c r="A3" s="11" t="n">
        <x:v>1</x:v>
      </x:c>
      <x:c r="B3" s="17" t="n">
        <x:v>10</x:v>
      </x:c>
      <x:c r="C3" s="17" t="n">
        <x:v>10</x:v>
      </x:c>
      <x:c r="D3" s="19" t="n">
        <x:f>B3/'参数说明'!$B$4</x:f>
        <x:v>1</x:v>
      </x:c>
      <x:c r="E3" s="19" t="n">
        <x:f>D3/'参数说明'!$B$5</x:f>
        <x:v>0.3333333333333333</x:v>
      </x:c>
      <x:c r="F3" s="21" t="n">
        <x:f>D3/'参数说明'!$B$6</x:f>
        <x:v>0.16666666666666666</x:v>
      </x:c>
    </x:row>
    <x:row r="4">
      <x:c r="A4" s="11" t="n">
        <x:v>2</x:v>
      </x:c>
      <x:c r="B4" s="17" t="n">
        <x:v>20</x:v>
      </x:c>
      <x:c r="C4" s="17" t="n">
        <x:v>10</x:v>
      </x:c>
      <x:c r="D4" s="19" t="n">
        <x:f>B4/'参数说明'!$B$4</x:f>
        <x:v>2</x:v>
      </x:c>
      <x:c r="E4" s="19" t="n">
        <x:f>D4/'参数说明'!$B$5</x:f>
        <x:v>0.6666666666666666</x:v>
      </x:c>
      <x:c r="F4" s="21" t="n">
        <x:f>D4/'参数说明'!$B$6</x:f>
        <x:v>0.3333333333333333</x:v>
      </x:c>
    </x:row>
    <x:row r="5">
      <x:c r="A5" s="11" t="n">
        <x:v>3</x:v>
      </x:c>
      <x:c r="B5" s="17" t="n">
        <x:v>30</x:v>
      </x:c>
      <x:c r="C5" s="17" t="n">
        <x:v>25</x:v>
      </x:c>
      <x:c r="D5" s="19" t="n">
        <x:f>B5/'参数说明'!$B$4</x:f>
        <x:v>3</x:v>
      </x:c>
      <x:c r="E5" s="19" t="n">
        <x:f>D5/'参数说明'!$B$5</x:f>
        <x:v>1</x:v>
      </x:c>
      <x:c r="F5" s="21" t="n">
        <x:f>D5/'参数说明'!$B$6</x:f>
        <x:v>0.5</x:v>
      </x:c>
    </x:row>
    <x:row r="6">
      <x:c r="A6" s="11" t="n">
        <x:v>4</x:v>
      </x:c>
      <x:c r="B6" s="17" t="n">
        <x:v>55</x:v>
      </x:c>
      <x:c r="C6" s="17" t="n">
        <x:v>25</x:v>
      </x:c>
      <x:c r="D6" s="19" t="n">
        <x:f>B6/'参数说明'!$B$4</x:f>
        <x:v>5.5</x:v>
      </x:c>
      <x:c r="E6" s="19" t="n">
        <x:f>D6/'参数说明'!$B$5</x:f>
        <x:v>1.8333333333333333</x:v>
      </x:c>
      <x:c r="F6" s="21" t="n">
        <x:f>D6/'参数说明'!$B$6</x:f>
        <x:v>0.9166666666666666</x:v>
      </x:c>
    </x:row>
    <x:row r="7">
      <x:c r="A7" s="11" t="n">
        <x:v>5</x:v>
      </x:c>
      <x:c r="B7" s="17" t="n">
        <x:v>80</x:v>
      </x:c>
      <x:c r="C7" s="17" t="n">
        <x:v>25</x:v>
      </x:c>
      <x:c r="D7" s="19" t="n">
        <x:f>B7/'参数说明'!$B$4</x:f>
        <x:v>8</x:v>
      </x:c>
      <x:c r="E7" s="19" t="n">
        <x:f>D7/'参数说明'!$B$5</x:f>
        <x:v>2.6666666666666665</x:v>
      </x:c>
      <x:c r="F7" s="21" t="n">
        <x:f>D7/'参数说明'!$B$6</x:f>
        <x:v>1.3333333333333333</x:v>
      </x:c>
    </x:row>
    <x:row r="8">
      <x:c r="A8" s="11" t="n">
        <x:v>6</x:v>
      </x:c>
      <x:c r="B8" s="17" t="n">
        <x:v>105</x:v>
      </x:c>
      <x:c r="C8" s="17" t="n">
        <x:v>30</x:v>
      </x:c>
      <x:c r="D8" s="19" t="n">
        <x:f>B8/'参数说明'!$B$4</x:f>
        <x:v>10.5</x:v>
      </x:c>
      <x:c r="E8" s="19" t="n">
        <x:f>D8/'参数说明'!$B$5</x:f>
        <x:v>3.5</x:v>
      </x:c>
      <x:c r="F8" s="21" t="n">
        <x:f>D8/'参数说明'!$B$6</x:f>
        <x:v>1.75</x:v>
      </x:c>
    </x:row>
    <x:row r="9">
      <x:c r="A9" s="11" t="n">
        <x:v>7</x:v>
      </x:c>
      <x:c r="B9" s="17" t="n">
        <x:v>135</x:v>
      </x:c>
      <x:c r="C9" s="17" t="n">
        <x:v>25</x:v>
      </x:c>
      <x:c r="D9" s="19" t="n">
        <x:f>B9/'参数说明'!$B$4</x:f>
        <x:v>13.5</x:v>
      </x:c>
      <x:c r="E9" s="19" t="n">
        <x:f>D9/'参数说明'!$B$5</x:f>
        <x:v>4.5</x:v>
      </x:c>
      <x:c r="F9" s="21" t="n">
        <x:f>D9/'参数说明'!$B$6</x:f>
        <x:v>2.25</x:v>
      </x:c>
    </x:row>
    <x:row r="10">
      <x:c r="A10" s="11" t="n">
        <x:v>8</x:v>
      </x:c>
      <x:c r="B10" s="17" t="n">
        <x:v>160</x:v>
      </x:c>
      <x:c r="C10" s="17" t="n">
        <x:v>25</x:v>
      </x:c>
      <x:c r="D10" s="19" t="n">
        <x:f>B10/'参数说明'!$B$4</x:f>
        <x:v>16</x:v>
      </x:c>
      <x:c r="E10" s="19" t="n">
        <x:f>D10/'参数说明'!$B$5</x:f>
        <x:v>5.333333333333333</x:v>
      </x:c>
      <x:c r="F10" s="21" t="n">
        <x:f>D10/'参数说明'!$B$6</x:f>
        <x:v>2.6666666666666665</x:v>
      </x:c>
    </x:row>
    <x:row r="11">
      <x:c r="A11" s="11" t="n">
        <x:v>9</x:v>
      </x:c>
      <x:c r="B11" s="17" t="n">
        <x:v>185</x:v>
      </x:c>
      <x:c r="C11" s="17" t="n">
        <x:v>25</x:v>
      </x:c>
      <x:c r="D11" s="19" t="n">
        <x:f>B11/'参数说明'!$B$4</x:f>
        <x:v>18.5</x:v>
      </x:c>
      <x:c r="E11" s="19" t="n">
        <x:f>D11/'参数说明'!$B$5</x:f>
        <x:v>6.166666666666667</x:v>
      </x:c>
      <x:c r="F11" s="21" t="n">
        <x:f>D11/'参数说明'!$B$6</x:f>
        <x:v>3.0833333333333335</x:v>
      </x:c>
    </x:row>
    <x:row r="12">
      <x:c r="A12" s="11" t="n">
        <x:v>10</x:v>
      </x:c>
      <x:c r="B12" s="17" t="n">
        <x:v>210</x:v>
      </x:c>
      <x:c r="C12" s="17" t="n">
        <x:v>45</x:v>
      </x:c>
      <x:c r="D12" s="19" t="n">
        <x:f>B12/'参数说明'!$B$4</x:f>
        <x:v>21</x:v>
      </x:c>
      <x:c r="E12" s="19" t="n">
        <x:f>D12/'参数说明'!$B$5</x:f>
        <x:v>7</x:v>
      </x:c>
      <x:c r="F12" s="21" t="n">
        <x:f>D12/'参数说明'!$B$6</x:f>
        <x:v>3.5</x:v>
      </x:c>
    </x:row>
    <x:row r="13">
      <x:c r="A13" s="11" t="n">
        <x:v>11</x:v>
      </x:c>
      <x:c r="B13" s="17" t="n">
        <x:v>255</x:v>
      </x:c>
      <x:c r="C13" s="17" t="n">
        <x:v>45</x:v>
      </x:c>
      <x:c r="D13" s="19" t="n">
        <x:f>B13/'参数说明'!$B$4</x:f>
        <x:v>25.5</x:v>
      </x:c>
      <x:c r="E13" s="19" t="n">
        <x:f>D13/'参数说明'!$B$5</x:f>
        <x:v>8.5</x:v>
      </x:c>
      <x:c r="F13" s="21" t="n">
        <x:f>D13/'参数说明'!$B$6</x:f>
        <x:v>4.25</x:v>
      </x:c>
    </x:row>
    <x:row r="14">
      <x:c r="A14" s="11" t="n">
        <x:v>12</x:v>
      </x:c>
      <x:c r="B14" s="17" t="n">
        <x:v>300</x:v>
      </x:c>
      <x:c r="C14" s="17" t="n">
        <x:v>50</x:v>
      </x:c>
      <x:c r="D14" s="19" t="n">
        <x:f>B14/'参数说明'!$B$4</x:f>
        <x:v>30</x:v>
      </x:c>
      <x:c r="E14" s="19" t="n">
        <x:f>D14/'参数说明'!$B$5</x:f>
        <x:v>10</x:v>
      </x:c>
      <x:c r="F14" s="21" t="n">
        <x:f>D14/'参数说明'!$B$6</x:f>
        <x:v>5</x:v>
      </x:c>
    </x:row>
    <x:row r="15">
      <x:c r="A15" s="11" t="n">
        <x:v>13</x:v>
      </x:c>
      <x:c r="B15" s="17" t="n">
        <x:v>350</x:v>
      </x:c>
      <x:c r="C15" s="17" t="n">
        <x:v>45</x:v>
      </x:c>
      <x:c r="D15" s="19" t="n">
        <x:f>B15/'参数说明'!$B$4</x:f>
        <x:v>35</x:v>
      </x:c>
      <x:c r="E15" s="19" t="n">
        <x:f>D15/'参数说明'!$B$5</x:f>
        <x:v>11.666666666666666</x:v>
      </x:c>
      <x:c r="F15" s="21" t="n">
        <x:f>D15/'参数说明'!$B$6</x:f>
        <x:v>5.833333333333333</x:v>
      </x:c>
    </x:row>
    <x:row r="16">
      <x:c r="A16" s="11" t="n">
        <x:v>14</x:v>
      </x:c>
      <x:c r="B16" s="17" t="n">
        <x:v>395</x:v>
      </x:c>
      <x:c r="C16" s="17" t="n">
        <x:v>45</x:v>
      </x:c>
      <x:c r="D16" s="19" t="n">
        <x:f>B16/'参数说明'!$B$4</x:f>
        <x:v>39.5</x:v>
      </x:c>
      <x:c r="E16" s="19" t="n">
        <x:f>D16/'参数说明'!$B$5</x:f>
        <x:v>13.166666666666666</x:v>
      </x:c>
      <x:c r="F16" s="21" t="n">
        <x:f>D16/'参数说明'!$B$6</x:f>
        <x:v>6.583333333333333</x:v>
      </x:c>
    </x:row>
    <x:row r="17">
      <x:c r="A17" s="11" t="n">
        <x:v>15</x:v>
      </x:c>
      <x:c r="B17" s="17" t="n">
        <x:v>440</x:v>
      </x:c>
      <x:c r="C17" s="17" t="n">
        <x:v>45</x:v>
      </x:c>
      <x:c r="D17" s="19" t="n">
        <x:f>B17/'参数说明'!$B$4</x:f>
        <x:v>44</x:v>
      </x:c>
      <x:c r="E17" s="19" t="n">
        <x:f>D17/'参数说明'!$B$5</x:f>
        <x:v>14.666666666666666</x:v>
      </x:c>
      <x:c r="F17" s="21" t="n">
        <x:f>D17/'参数说明'!$B$6</x:f>
        <x:v>7.333333333333333</x:v>
      </x:c>
    </x:row>
    <x:row r="18">
      <x:c r="A18" s="11" t="n">
        <x:v>16</x:v>
      </x:c>
      <x:c r="B18" s="17" t="n">
        <x:v>485</x:v>
      </x:c>
      <x:c r="C18" s="17" t="n">
        <x:v>45</x:v>
      </x:c>
      <x:c r="D18" s="19" t="n">
        <x:f>B18/'参数说明'!$B$4</x:f>
        <x:v>48.5</x:v>
      </x:c>
      <x:c r="E18" s="19" t="n">
        <x:f>D18/'参数说明'!$B$5</x:f>
        <x:v>16.166666666666668</x:v>
      </x:c>
      <x:c r="F18" s="21" t="n">
        <x:f>D18/'参数说明'!$B$6</x:f>
        <x:v>8.083333333333334</x:v>
      </x:c>
    </x:row>
    <x:row r="19">
      <x:c r="A19" s="11" t="n">
        <x:v>17</x:v>
      </x:c>
      <x:c r="B19" s="17" t="n">
        <x:v>530</x:v>
      </x:c>
      <x:c r="C19" s="17" t="n">
        <x:v>50</x:v>
      </x:c>
      <x:c r="D19" s="19" t="n">
        <x:f>B19/'参数说明'!$B$4</x:f>
        <x:v>53</x:v>
      </x:c>
      <x:c r="E19" s="19" t="n">
        <x:f>D19/'参数说明'!$B$5</x:f>
        <x:v>17.666666666666668</x:v>
      </x:c>
      <x:c r="F19" s="21" t="n">
        <x:f>D19/'参数说明'!$B$6</x:f>
        <x:v>8.833333333333334</x:v>
      </x:c>
    </x:row>
    <x:row r="20">
      <x:c r="A20" s="11" t="n">
        <x:v>18</x:v>
      </x:c>
      <x:c r="B20" s="17" t="n">
        <x:v>580</x:v>
      </x:c>
      <x:c r="C20" s="17" t="n">
        <x:v>45</x:v>
      </x:c>
      <x:c r="D20" s="19" t="n">
        <x:f>B20/'参数说明'!$B$4</x:f>
        <x:v>58</x:v>
      </x:c>
      <x:c r="E20" s="19" t="n">
        <x:f>D20/'参数说明'!$B$5</x:f>
        <x:v>19.333333333333332</x:v>
      </x:c>
      <x:c r="F20" s="21" t="n">
        <x:f>D20/'参数说明'!$B$6</x:f>
        <x:v>9.666666666666666</x:v>
      </x:c>
    </x:row>
    <x:row r="21">
      <x:c r="A21" s="11" t="n">
        <x:v>19</x:v>
      </x:c>
      <x:c r="B21" s="17" t="n">
        <x:v>625</x:v>
      </x:c>
      <x:c r="C21" s="17" t="n">
        <x:v>45</x:v>
      </x:c>
      <x:c r="D21" s="19" t="n">
        <x:f>B21/'参数说明'!$B$4</x:f>
        <x:v>62.5</x:v>
      </x:c>
      <x:c r="E21" s="19" t="n">
        <x:f>D21/'参数说明'!$B$5</x:f>
        <x:v>20.833333333333332</x:v>
      </x:c>
      <x:c r="F21" s="21" t="n">
        <x:f>D21/'参数说明'!$B$6</x:f>
        <x:v>10.416666666666666</x:v>
      </x:c>
    </x:row>
    <x:row r="22">
      <x:c r="A22" s="11" t="n">
        <x:v>20</x:v>
      </x:c>
      <x:c r="B22" s="17" t="n">
        <x:v>670</x:v>
      </x:c>
      <x:c r="C22" s="17" t="n">
        <x:v>45</x:v>
      </x:c>
      <x:c r="D22" s="19" t="n">
        <x:f>B22/'参数说明'!$B$4</x:f>
        <x:v>67</x:v>
      </x:c>
      <x:c r="E22" s="19" t="n">
        <x:f>D22/'参数说明'!$B$5</x:f>
        <x:v>22.333333333333332</x:v>
      </x:c>
      <x:c r="F22" s="21" t="n">
        <x:f>D22/'参数说明'!$B$6</x:f>
        <x:v>11.166666666666666</x:v>
      </x:c>
    </x:row>
    <x:row r="23">
      <x:c r="A23" s="11" t="n">
        <x:v>21</x:v>
      </x:c>
      <x:c r="B23" s="17" t="n">
        <x:v>715</x:v>
      </x:c>
      <x:c r="C23" s="17" t="n">
        <x:v>45</x:v>
      </x:c>
      <x:c r="D23" s="19" t="n">
        <x:f>B23/'参数说明'!$B$4</x:f>
        <x:v>71.5</x:v>
      </x:c>
      <x:c r="E23" s="19" t="n">
        <x:f>D23/'参数说明'!$B$5</x:f>
        <x:v>23.833333333333332</x:v>
      </x:c>
      <x:c r="F23" s="21" t="n">
        <x:f>D23/'参数说明'!$B$6</x:f>
        <x:v>11.916666666666666</x:v>
      </x:c>
    </x:row>
    <x:row r="24">
      <x:c r="A24" s="11" t="n">
        <x:v>22</x:v>
      </x:c>
      <x:c r="B24" s="17" t="n">
        <x:v>760</x:v>
      </x:c>
      <x:c r="C24" s="17" t="n">
        <x:v>50</x:v>
      </x:c>
      <x:c r="D24" s="19" t="n">
        <x:f>B24/'参数说明'!$B$4</x:f>
        <x:v>76</x:v>
      </x:c>
      <x:c r="E24" s="19" t="n">
        <x:f>D24/'参数说明'!$B$5</x:f>
        <x:v>25.333333333333332</x:v>
      </x:c>
      <x:c r="F24" s="21" t="n">
        <x:f>D24/'参数说明'!$B$6</x:f>
        <x:v>12.666666666666666</x:v>
      </x:c>
    </x:row>
    <x:row r="25">
      <x:c r="A25" s="11" t="n">
        <x:v>23</x:v>
      </x:c>
      <x:c r="B25" s="17" t="n">
        <x:v>810</x:v>
      </x:c>
      <x:c r="C25" s="17" t="n">
        <x:v>45</x:v>
      </x:c>
      <x:c r="D25" s="19" t="n">
        <x:f>B25/'参数说明'!$B$4</x:f>
        <x:v>81</x:v>
      </x:c>
      <x:c r="E25" s="19" t="n">
        <x:f>D25/'参数说明'!$B$5</x:f>
        <x:v>27</x:v>
      </x:c>
      <x:c r="F25" s="21" t="n">
        <x:f>D25/'参数说明'!$B$6</x:f>
        <x:v>13.5</x:v>
      </x:c>
    </x:row>
    <x:row r="26">
      <x:c r="A26" s="11" t="n">
        <x:v>24</x:v>
      </x:c>
      <x:c r="B26" s="17" t="n">
        <x:v>855</x:v>
      </x:c>
      <x:c r="C26" s="17" t="n">
        <x:v>45</x:v>
      </x:c>
      <x:c r="D26" s="19" t="n">
        <x:f>B26/'参数说明'!$B$4</x:f>
        <x:v>85.5</x:v>
      </x:c>
      <x:c r="E26" s="19" t="n">
        <x:f>D26/'参数说明'!$B$5</x:f>
        <x:v>28.5</x:v>
      </x:c>
      <x:c r="F26" s="21" t="n">
        <x:f>D26/'参数说明'!$B$6</x:f>
        <x:v>14.25</x:v>
      </x:c>
    </x:row>
    <x:row r="27">
      <x:c r="A27" s="11" t="n">
        <x:v>25</x:v>
      </x:c>
      <x:c r="B27" s="17" t="n">
        <x:v>900</x:v>
      </x:c>
      <x:c r="C27" s="17" t="n">
        <x:v>90</x:v>
      </x:c>
      <x:c r="D27" s="19" t="n">
        <x:f>B27/'参数说明'!$B$4</x:f>
        <x:v>90</x:v>
      </x:c>
      <x:c r="E27" s="19" t="n">
        <x:f>D27/'参数说明'!$B$5</x:f>
        <x:v>30</x:v>
      </x:c>
      <x:c r="F27" s="21" t="n">
        <x:f>D27/'参数说明'!$B$6</x:f>
        <x:v>15</x:v>
      </x:c>
    </x:row>
    <x:row r="28">
      <x:c r="A28" s="11" t="n">
        <x:v>26</x:v>
      </x:c>
      <x:c r="B28" s="17" t="n">
        <x:v>990</x:v>
      </x:c>
      <x:c r="C28" s="17" t="n">
        <x:v>90</x:v>
      </x:c>
      <x:c r="D28" s="19" t="n">
        <x:f>B28/'参数说明'!$B$4</x:f>
        <x:v>99</x:v>
      </x:c>
      <x:c r="E28" s="19" t="n">
        <x:f>D28/'参数说明'!$B$5</x:f>
        <x:v>33</x:v>
      </x:c>
      <x:c r="F28" s="21" t="n">
        <x:f>D28/'参数说明'!$B$6</x:f>
        <x:v>16.5</x:v>
      </x:c>
    </x:row>
    <x:row r="29">
      <x:c r="A29" s="11" t="n">
        <x:v>27</x:v>
      </x:c>
      <x:c r="B29" s="17" t="n">
        <x:v>1080</x:v>
      </x:c>
      <x:c r="C29" s="17" t="n">
        <x:v>90</x:v>
      </x:c>
      <x:c r="D29" s="19" t="n">
        <x:f>B29/'参数说明'!$B$4</x:f>
        <x:v>108</x:v>
      </x:c>
      <x:c r="E29" s="19" t="n">
        <x:f>D29/'参数说明'!$B$5</x:f>
        <x:v>36</x:v>
      </x:c>
      <x:c r="F29" s="21" t="n">
        <x:f>D29/'参数说明'!$B$6</x:f>
        <x:v>18</x:v>
      </x:c>
    </x:row>
    <x:row r="30">
      <x:c r="A30" s="11" t="n">
        <x:v>28</x:v>
      </x:c>
      <x:c r="B30" s="17" t="n">
        <x:v>1170</x:v>
      </x:c>
      <x:c r="C30" s="17" t="n">
        <x:v>90</x:v>
      </x:c>
      <x:c r="D30" s="19" t="n">
        <x:f>B30/'参数说明'!$B$4</x:f>
        <x:v>117</x:v>
      </x:c>
      <x:c r="E30" s="19" t="n">
        <x:f>D30/'参数说明'!$B$5</x:f>
        <x:v>39</x:v>
      </x:c>
      <x:c r="F30" s="21" t="n">
        <x:f>D30/'参数说明'!$B$6</x:f>
        <x:v>19.5</x:v>
      </x:c>
    </x:row>
    <x:row r="31">
      <x:c r="A31" s="11" t="n">
        <x:v>29</x:v>
      </x:c>
      <x:c r="B31" s="17" t="n">
        <x:v>1260</x:v>
      </x:c>
      <x:c r="C31" s="17" t="n">
        <x:v>90</x:v>
      </x:c>
      <x:c r="D31" s="19" t="n">
        <x:f>B31/'参数说明'!$B$4</x:f>
        <x:v>126</x:v>
      </x:c>
      <x:c r="E31" s="19" t="n">
        <x:f>D31/'参数说明'!$B$5</x:f>
        <x:v>42</x:v>
      </x:c>
      <x:c r="F31" s="21" t="n">
        <x:f>D31/'参数说明'!$B$6</x:f>
        <x:v>21</x:v>
      </x:c>
    </x:row>
    <x:row r="32">
      <x:c r="A32" s="11" t="n">
        <x:v>30</x:v>
      </x:c>
      <x:c r="B32" s="17" t="n">
        <x:v>1350</x:v>
      </x:c>
      <x:c r="C32" s="17" t="n">
        <x:v>90</x:v>
      </x:c>
      <x:c r="D32" s="19" t="n">
        <x:f>B32/'参数说明'!$B$4</x:f>
        <x:v>135</x:v>
      </x:c>
      <x:c r="E32" s="19" t="n">
        <x:f>D32/'参数说明'!$B$5</x:f>
        <x:v>45</x:v>
      </x:c>
      <x:c r="F32" s="21" t="n">
        <x:f>D32/'参数说明'!$B$6</x:f>
        <x:v>22.5</x:v>
      </x:c>
    </x:row>
    <x:row r="33">
      <x:c r="A33" s="11" t="n">
        <x:v>31</x:v>
      </x:c>
      <x:c r="B33" s="17" t="n">
        <x:v>1440</x:v>
      </x:c>
      <x:c r="C33" s="17" t="n">
        <x:v>90</x:v>
      </x:c>
      <x:c r="D33" s="19" t="n">
        <x:f>B33/'参数说明'!$B$4</x:f>
        <x:v>144</x:v>
      </x:c>
      <x:c r="E33" s="19" t="n">
        <x:f>D33/'参数说明'!$B$5</x:f>
        <x:v>48</x:v>
      </x:c>
      <x:c r="F33" s="21" t="n">
        <x:f>D33/'参数说明'!$B$6</x:f>
        <x:v>24</x:v>
      </x:c>
    </x:row>
    <x:row r="34">
      <x:c r="A34" s="11" t="n">
        <x:v>32</x:v>
      </x:c>
      <x:c r="B34" s="17" t="n">
        <x:v>1530</x:v>
      </x:c>
      <x:c r="C34" s="17" t="n">
        <x:v>90</x:v>
      </x:c>
      <x:c r="D34" s="19" t="n">
        <x:f>B34/'参数说明'!$B$4</x:f>
        <x:v>153</x:v>
      </x:c>
      <x:c r="E34" s="19" t="n">
        <x:f>D34/'参数说明'!$B$5</x:f>
        <x:v>51</x:v>
      </x:c>
      <x:c r="F34" s="21" t="n">
        <x:f>D34/'参数说明'!$B$6</x:f>
        <x:v>25.5</x:v>
      </x:c>
    </x:row>
    <x:row r="35">
      <x:c r="A35" s="11" t="n">
        <x:v>33</x:v>
      </x:c>
      <x:c r="B35" s="17" t="n">
        <x:v>1620</x:v>
      </x:c>
      <x:c r="C35" s="17" t="n">
        <x:v>90</x:v>
      </x:c>
      <x:c r="D35" s="19" t="n">
        <x:f>B35/'参数说明'!$B$4</x:f>
        <x:v>162</x:v>
      </x:c>
      <x:c r="E35" s="19" t="n">
        <x:f>D35/'参数说明'!$B$5</x:f>
        <x:v>54</x:v>
      </x:c>
      <x:c r="F35" s="21" t="n">
        <x:f>D35/'参数说明'!$B$6</x:f>
        <x:v>27</x:v>
      </x:c>
    </x:row>
    <x:row r="36">
      <x:c r="A36" s="11" t="n">
        <x:v>34</x:v>
      </x:c>
      <x:c r="B36" s="17" t="n">
        <x:v>1710</x:v>
      </x:c>
      <x:c r="C36" s="17" t="n">
        <x:v>90</x:v>
      </x:c>
      <x:c r="D36" s="19" t="n">
        <x:f>B36/'参数说明'!$B$4</x:f>
        <x:v>171</x:v>
      </x:c>
      <x:c r="E36" s="19" t="n">
        <x:f>D36/'参数说明'!$B$5</x:f>
        <x:v>57</x:v>
      </x:c>
      <x:c r="F36" s="21" t="n">
        <x:f>D36/'参数说明'!$B$6</x:f>
        <x:v>28.5</x:v>
      </x:c>
    </x:row>
    <x:row r="37">
      <x:c r="A37" s="11" t="n">
        <x:v>35</x:v>
      </x:c>
      <x:c r="B37" s="17" t="n">
        <x:v>1800</x:v>
      </x:c>
      <x:c r="C37" s="17" t="n">
        <x:v>90</x:v>
      </x:c>
      <x:c r="D37" s="19" t="n">
        <x:f>B37/'参数说明'!$B$4</x:f>
        <x:v>180</x:v>
      </x:c>
      <x:c r="E37" s="19" t="n">
        <x:f>D37/'参数说明'!$B$5</x:f>
        <x:v>60</x:v>
      </x:c>
      <x:c r="F37" s="21" t="n">
        <x:f>D37/'参数说明'!$B$6</x:f>
        <x:v>30</x:v>
      </x:c>
    </x:row>
    <x:row r="38">
      <x:c r="A38" s="11" t="n">
        <x:v>36</x:v>
      </x:c>
      <x:c r="B38" s="17" t="n">
        <x:v>1890</x:v>
      </x:c>
      <x:c r="C38" s="17" t="n">
        <x:v>90</x:v>
      </x:c>
      <x:c r="D38" s="19" t="n">
        <x:f>B38/'参数说明'!$B$4</x:f>
        <x:v>189</x:v>
      </x:c>
      <x:c r="E38" s="19" t="n">
        <x:f>D38/'参数说明'!$B$5</x:f>
        <x:v>63</x:v>
      </x:c>
      <x:c r="F38" s="21" t="n">
        <x:f>D38/'参数说明'!$B$6</x:f>
        <x:v>31.5</x:v>
      </x:c>
    </x:row>
    <x:row r="39">
      <x:c r="A39" s="11" t="n">
        <x:v>37</x:v>
      </x:c>
      <x:c r="B39" s="17" t="n">
        <x:v>1980</x:v>
      </x:c>
      <x:c r="C39" s="17" t="n">
        <x:v>90</x:v>
      </x:c>
      <x:c r="D39" s="19" t="n">
        <x:f>B39/'参数说明'!$B$4</x:f>
        <x:v>198</x:v>
      </x:c>
      <x:c r="E39" s="19" t="n">
        <x:f>D39/'参数说明'!$B$5</x:f>
        <x:v>66</x:v>
      </x:c>
      <x:c r="F39" s="21" t="n">
        <x:f>D39/'参数说明'!$B$6</x:f>
        <x:v>33</x:v>
      </x:c>
    </x:row>
    <x:row r="40">
      <x:c r="A40" s="11" t="n">
        <x:v>38</x:v>
      </x:c>
      <x:c r="B40" s="17" t="n">
        <x:v>2070</x:v>
      </x:c>
      <x:c r="C40" s="17" t="n">
        <x:v>90</x:v>
      </x:c>
      <x:c r="D40" s="19" t="n">
        <x:f>B40/'参数说明'!$B$4</x:f>
        <x:v>207</x:v>
      </x:c>
      <x:c r="E40" s="19" t="n">
        <x:f>D40/'参数说明'!$B$5</x:f>
        <x:v>69</x:v>
      </x:c>
      <x:c r="F40" s="21" t="n">
        <x:f>D40/'参数说明'!$B$6</x:f>
        <x:v>34.5</x:v>
      </x:c>
    </x:row>
    <x:row r="41">
      <x:c r="A41" s="11" t="n">
        <x:v>39</x:v>
      </x:c>
      <x:c r="B41" s="17" t="n">
        <x:v>2160</x:v>
      </x:c>
      <x:c r="C41" s="17" t="n">
        <x:v>90</x:v>
      </x:c>
      <x:c r="D41" s="19" t="n">
        <x:f>B41/'参数说明'!$B$4</x:f>
        <x:v>216</x:v>
      </x:c>
      <x:c r="E41" s="19" t="n">
        <x:f>D41/'参数说明'!$B$5</x:f>
        <x:v>72</x:v>
      </x:c>
      <x:c r="F41" s="21" t="n">
        <x:f>D41/'参数说明'!$B$6</x:f>
        <x:v>36</x:v>
      </x:c>
    </x:row>
    <x:row r="42">
      <x:c r="A42" s="11" t="n">
        <x:v>40</x:v>
      </x:c>
      <x:c r="B42" s="17" t="n">
        <x:v>2250</x:v>
      </x:c>
      <x:c r="C42" s="17" t="n">
        <x:v>90</x:v>
      </x:c>
      <x:c r="D42" s="19" t="n">
        <x:f>B42/'参数说明'!$B$4</x:f>
        <x:v>225</x:v>
      </x:c>
      <x:c r="E42" s="19" t="n">
        <x:f>D42/'参数说明'!$B$5</x:f>
        <x:v>75</x:v>
      </x:c>
      <x:c r="F42" s="21" t="n">
        <x:f>D42/'参数说明'!$B$6</x:f>
        <x:v>37.5</x:v>
      </x:c>
    </x:row>
    <x:row r="43">
      <x:c r="A43" s="11" t="n">
        <x:v>41</x:v>
      </x:c>
      <x:c r="B43" s="17" t="n">
        <x:v>2340</x:v>
      </x:c>
      <x:c r="C43" s="17" t="n">
        <x:v>90</x:v>
      </x:c>
      <x:c r="D43" s="19" t="n">
        <x:f>B43/'参数说明'!$B$4</x:f>
        <x:v>234</x:v>
      </x:c>
      <x:c r="E43" s="19" t="n">
        <x:f>D43/'参数说明'!$B$5</x:f>
        <x:v>78</x:v>
      </x:c>
      <x:c r="F43" s="21" t="n">
        <x:f>D43/'参数说明'!$B$6</x:f>
        <x:v>39</x:v>
      </x:c>
    </x:row>
    <x:row r="44">
      <x:c r="A44" s="11" t="n">
        <x:v>42</x:v>
      </x:c>
      <x:c r="B44" s="17" t="n">
        <x:v>2430</x:v>
      </x:c>
      <x:c r="C44" s="17" t="n">
        <x:v>90</x:v>
      </x:c>
      <x:c r="D44" s="19" t="n">
        <x:f>B44/'参数说明'!$B$4</x:f>
        <x:v>243</x:v>
      </x:c>
      <x:c r="E44" s="19" t="n">
        <x:f>D44/'参数说明'!$B$5</x:f>
        <x:v>81</x:v>
      </x:c>
      <x:c r="F44" s="21" t="n">
        <x:f>D44/'参数说明'!$B$6</x:f>
        <x:v>40.5</x:v>
      </x:c>
    </x:row>
    <x:row r="45">
      <x:c r="A45" s="11" t="n">
        <x:v>43</x:v>
      </x:c>
      <x:c r="B45" s="17" t="n">
        <x:v>2520</x:v>
      </x:c>
      <x:c r="C45" s="17" t="n">
        <x:v>90</x:v>
      </x:c>
      <x:c r="D45" s="19" t="n">
        <x:f>B45/'参数说明'!$B$4</x:f>
        <x:v>252</x:v>
      </x:c>
      <x:c r="E45" s="19" t="n">
        <x:f>D45/'参数说明'!$B$5</x:f>
        <x:v>84</x:v>
      </x:c>
      <x:c r="F45" s="21" t="n">
        <x:f>D45/'参数说明'!$B$6</x:f>
        <x:v>42</x:v>
      </x:c>
    </x:row>
    <x:row r="46">
      <x:c r="A46" s="11" t="n">
        <x:v>44</x:v>
      </x:c>
      <x:c r="B46" s="17" t="n">
        <x:v>2610</x:v>
      </x:c>
      <x:c r="C46" s="17" t="n">
        <x:v>90</x:v>
      </x:c>
      <x:c r="D46" s="19" t="n">
        <x:f>B46/'参数说明'!$B$4</x:f>
        <x:v>261</x:v>
      </x:c>
      <x:c r="E46" s="19" t="n">
        <x:f>D46/'参数说明'!$B$5</x:f>
        <x:v>87</x:v>
      </x:c>
      <x:c r="F46" s="21" t="n">
        <x:f>D46/'参数说明'!$B$6</x:f>
        <x:v>43.5</x:v>
      </x:c>
    </x:row>
    <x:row r="47">
      <x:c r="A47" s="11" t="n">
        <x:v>45</x:v>
      </x:c>
      <x:c r="B47" s="17" t="n">
        <x:v>2700</x:v>
      </x:c>
      <x:c r="C47" s="17" t="n">
        <x:v>135</x:v>
      </x:c>
      <x:c r="D47" s="19" t="n">
        <x:f>B47/'参数说明'!$B$4</x:f>
        <x:v>270</x:v>
      </x:c>
      <x:c r="E47" s="19" t="n">
        <x:f>D47/'参数说明'!$B$5</x:f>
        <x:v>90</x:v>
      </x:c>
      <x:c r="F47" s="21" t="n">
        <x:f>D47/'参数说明'!$B$6</x:f>
        <x:v>45</x:v>
      </x:c>
    </x:row>
    <x:row r="48">
      <x:c r="A48" s="11" t="n">
        <x:v>46</x:v>
      </x:c>
      <x:c r="B48" s="17" t="n">
        <x:v>2835</x:v>
      </x:c>
      <x:c r="C48" s="17" t="n">
        <x:v>135</x:v>
      </x:c>
      <x:c r="D48" s="19" t="n">
        <x:f>B48/'参数说明'!$B$4</x:f>
        <x:v>283.5</x:v>
      </x:c>
      <x:c r="E48" s="19" t="n">
        <x:f>D48/'参数说明'!$B$5</x:f>
        <x:v>94.5</x:v>
      </x:c>
      <x:c r="F48" s="21" t="n">
        <x:f>D48/'参数说明'!$B$6</x:f>
        <x:v>47.25</x:v>
      </x:c>
    </x:row>
    <x:row r="49">
      <x:c r="A49" s="11" t="n">
        <x:v>47</x:v>
      </x:c>
      <x:c r="B49" s="17" t="n">
        <x:v>2970</x:v>
      </x:c>
      <x:c r="C49" s="17" t="n">
        <x:v>135</x:v>
      </x:c>
      <x:c r="D49" s="19" t="n">
        <x:f>B49/'参数说明'!$B$4</x:f>
        <x:v>297</x:v>
      </x:c>
      <x:c r="E49" s="19" t="n">
        <x:f>D49/'参数说明'!$B$5</x:f>
        <x:v>99</x:v>
      </x:c>
      <x:c r="F49" s="21" t="n">
        <x:f>D49/'参数说明'!$B$6</x:f>
        <x:v>49.5</x:v>
      </x:c>
    </x:row>
    <x:row r="50">
      <x:c r="A50" s="11" t="n">
        <x:v>48</x:v>
      </x:c>
      <x:c r="B50" s="17" t="n">
        <x:v>3105</x:v>
      </x:c>
      <x:c r="C50" s="17" t="n">
        <x:v>135</x:v>
      </x:c>
      <x:c r="D50" s="19" t="n">
        <x:f>B50/'参数说明'!$B$4</x:f>
        <x:v>310.5</x:v>
      </x:c>
      <x:c r="E50" s="19" t="n">
        <x:f>D50/'参数说明'!$B$5</x:f>
        <x:v>103.5</x:v>
      </x:c>
      <x:c r="F50" s="21" t="n">
        <x:f>D50/'参数说明'!$B$6</x:f>
        <x:v>51.75</x:v>
      </x:c>
    </x:row>
    <x:row r="51">
      <x:c r="A51" s="11" t="n">
        <x:v>49</x:v>
      </x:c>
      <x:c r="B51" s="17" t="n">
        <x:v>3240</x:v>
      </x:c>
      <x:c r="C51" s="17" t="n">
        <x:v>135</x:v>
      </x:c>
      <x:c r="D51" s="19" t="n">
        <x:f>B51/'参数说明'!$B$4</x:f>
        <x:v>324</x:v>
      </x:c>
      <x:c r="E51" s="19" t="n">
        <x:f>D51/'参数说明'!$B$5</x:f>
        <x:v>108</x:v>
      </x:c>
      <x:c r="F51" s="21" t="n">
        <x:f>D51/'参数说明'!$B$6</x:f>
        <x:v>54</x:v>
      </x:c>
    </x:row>
    <x:row r="52">
      <x:c r="A52" s="11" t="n">
        <x:v>50</x:v>
      </x:c>
      <x:c r="B52" s="17" t="n">
        <x:v>3375</x:v>
      </x:c>
      <x:c r="C52" s="17" t="n">
        <x:v>135</x:v>
      </x:c>
      <x:c r="D52" s="19" t="n">
        <x:f>B52/'参数说明'!$B$4</x:f>
        <x:v>337.5</x:v>
      </x:c>
      <x:c r="E52" s="19" t="n">
        <x:f>D52/'参数说明'!$B$5</x:f>
        <x:v>112.5</x:v>
      </x:c>
      <x:c r="F52" s="21" t="n">
        <x:f>D52/'参数说明'!$B$6</x:f>
        <x:v>56.25</x:v>
      </x:c>
    </x:row>
    <x:row r="53">
      <x:c r="A53" s="11" t="n">
        <x:v>51</x:v>
      </x:c>
      <x:c r="B53" s="17" t="n">
        <x:v>3510</x:v>
      </x:c>
      <x:c r="C53" s="17" t="n">
        <x:v>135</x:v>
      </x:c>
      <x:c r="D53" s="19" t="n">
        <x:f>B53/'参数说明'!$B$4</x:f>
        <x:v>351</x:v>
      </x:c>
      <x:c r="E53" s="19" t="n">
        <x:f>D53/'参数说明'!$B$5</x:f>
        <x:v>117</x:v>
      </x:c>
      <x:c r="F53" s="21" t="n">
        <x:f>D53/'参数说明'!$B$6</x:f>
        <x:v>58.5</x:v>
      </x:c>
    </x:row>
    <x:row r="54">
      <x:c r="A54" s="11" t="n">
        <x:v>52</x:v>
      </x:c>
      <x:c r="B54" s="17" t="n">
        <x:v>3645</x:v>
      </x:c>
      <x:c r="C54" s="17" t="n">
        <x:v>135</x:v>
      </x:c>
      <x:c r="D54" s="19" t="n">
        <x:f>B54/'参数说明'!$B$4</x:f>
        <x:v>364.5</x:v>
      </x:c>
      <x:c r="E54" s="19" t="n">
        <x:f>D54/'参数说明'!$B$5</x:f>
        <x:v>121.5</x:v>
      </x:c>
      <x:c r="F54" s="21" t="n">
        <x:f>D54/'参数说明'!$B$6</x:f>
        <x:v>60.75</x:v>
      </x:c>
    </x:row>
    <x:row r="55">
      <x:c r="A55" s="11" t="n">
        <x:v>53</x:v>
      </x:c>
      <x:c r="B55" s="17" t="n">
        <x:v>3780</x:v>
      </x:c>
      <x:c r="C55" s="17" t="n">
        <x:v>135</x:v>
      </x:c>
      <x:c r="D55" s="19" t="n">
        <x:f>B55/'参数说明'!$B$4</x:f>
        <x:v>378</x:v>
      </x:c>
      <x:c r="E55" s="19" t="n">
        <x:f>D55/'参数说明'!$B$5</x:f>
        <x:v>126</x:v>
      </x:c>
      <x:c r="F55" s="21" t="n">
        <x:f>D55/'参数说明'!$B$6</x:f>
        <x:v>63</x:v>
      </x:c>
    </x:row>
    <x:row r="56">
      <x:c r="A56" s="11" t="n">
        <x:v>54</x:v>
      </x:c>
      <x:c r="B56" s="17" t="n">
        <x:v>3915</x:v>
      </x:c>
      <x:c r="C56" s="17" t="n">
        <x:v>135</x:v>
      </x:c>
      <x:c r="D56" s="19" t="n">
        <x:f>B56/'参数说明'!$B$4</x:f>
        <x:v>391.5</x:v>
      </x:c>
      <x:c r="E56" s="19" t="n">
        <x:f>D56/'参数说明'!$B$5</x:f>
        <x:v>130.5</x:v>
      </x:c>
      <x:c r="F56" s="21" t="n">
        <x:f>D56/'参数说明'!$B$6</x:f>
        <x:v>65.25</x:v>
      </x:c>
    </x:row>
    <x:row r="57">
      <x:c r="A57" s="11" t="n">
        <x:v>55</x:v>
      </x:c>
      <x:c r="B57" s="17" t="n">
        <x:v>4050</x:v>
      </x:c>
      <x:c r="C57" s="17" t="n">
        <x:v>135</x:v>
      </x:c>
      <x:c r="D57" s="19" t="n">
        <x:f>B57/'参数说明'!$B$4</x:f>
        <x:v>405</x:v>
      </x:c>
      <x:c r="E57" s="19" t="n">
        <x:f>D57/'参数说明'!$B$5</x:f>
        <x:v>135</x:v>
      </x:c>
      <x:c r="F57" s="21" t="n">
        <x:f>D57/'参数说明'!$B$6</x:f>
        <x:v>67.5</x:v>
      </x:c>
    </x:row>
    <x:row r="58">
      <x:c r="A58" s="11" t="n">
        <x:v>56</x:v>
      </x:c>
      <x:c r="B58" s="17" t="n">
        <x:v>4185</x:v>
      </x:c>
      <x:c r="C58" s="17" t="n">
        <x:v>135</x:v>
      </x:c>
      <x:c r="D58" s="19" t="n">
        <x:f>B58/'参数说明'!$B$4</x:f>
        <x:v>418.5</x:v>
      </x:c>
      <x:c r="E58" s="19" t="n">
        <x:f>D58/'参数说明'!$B$5</x:f>
        <x:v>139.5</x:v>
      </x:c>
      <x:c r="F58" s="21" t="n">
        <x:f>D58/'参数说明'!$B$6</x:f>
        <x:v>69.75</x:v>
      </x:c>
    </x:row>
    <x:row r="59">
      <x:c r="A59" s="11" t="n">
        <x:v>57</x:v>
      </x:c>
      <x:c r="B59" s="17" t="n">
        <x:v>4320</x:v>
      </x:c>
      <x:c r="C59" s="17" t="n">
        <x:v>135</x:v>
      </x:c>
      <x:c r="D59" s="19" t="n">
        <x:f>B59/'参数说明'!$B$4</x:f>
        <x:v>432</x:v>
      </x:c>
      <x:c r="E59" s="19" t="n">
        <x:f>D59/'参数说明'!$B$5</x:f>
        <x:v>144</x:v>
      </x:c>
      <x:c r="F59" s="21" t="n">
        <x:f>D59/'参数说明'!$B$6</x:f>
        <x:v>72</x:v>
      </x:c>
    </x:row>
    <x:row r="60">
      <x:c r="A60" s="11" t="n">
        <x:v>58</x:v>
      </x:c>
      <x:c r="B60" s="17" t="n">
        <x:v>4455</x:v>
      </x:c>
      <x:c r="C60" s="17" t="n">
        <x:v>135</x:v>
      </x:c>
      <x:c r="D60" s="19" t="n">
        <x:f>B60/'参数说明'!$B$4</x:f>
        <x:v>445.5</x:v>
      </x:c>
      <x:c r="E60" s="19" t="n">
        <x:f>D60/'参数说明'!$B$5</x:f>
        <x:v>148.5</x:v>
      </x:c>
      <x:c r="F60" s="21" t="n">
        <x:f>D60/'参数说明'!$B$6</x:f>
        <x:v>74.25</x:v>
      </x:c>
    </x:row>
    <x:row r="61">
      <x:c r="A61" s="11" t="n">
        <x:v>59</x:v>
      </x:c>
      <x:c r="B61" s="17" t="n">
        <x:v>4590</x:v>
      </x:c>
      <x:c r="C61" s="17" t="n">
        <x:v>135</x:v>
      </x:c>
      <x:c r="D61" s="19" t="n">
        <x:f>B61/'参数说明'!$B$4</x:f>
        <x:v>459</x:v>
      </x:c>
      <x:c r="E61" s="19" t="n">
        <x:f>D61/'参数说明'!$B$5</x:f>
        <x:v>153</x:v>
      </x:c>
      <x:c r="F61" s="21" t="n">
        <x:f>D61/'参数说明'!$B$6</x:f>
        <x:v>76.5</x:v>
      </x:c>
    </x:row>
    <x:row r="62">
      <x:c r="A62" s="11" t="n">
        <x:v>60</x:v>
      </x:c>
      <x:c r="B62" s="17" t="n">
        <x:v>4725</x:v>
      </x:c>
      <x:c r="C62" s="17" t="n">
        <x:v>135</x:v>
      </x:c>
      <x:c r="D62" s="19" t="n">
        <x:f>B62/'参数说明'!$B$4</x:f>
        <x:v>472.5</x:v>
      </x:c>
      <x:c r="E62" s="19" t="n">
        <x:f>D62/'参数说明'!$B$5</x:f>
        <x:v>157.5</x:v>
      </x:c>
      <x:c r="F62" s="21" t="n">
        <x:f>D62/'参数说明'!$B$6</x:f>
        <x:v>78.75</x:v>
      </x:c>
    </x:row>
    <x:row r="63">
      <x:c r="A63" s="11" t="n">
        <x:v>61</x:v>
      </x:c>
      <x:c r="B63" s="17" t="n">
        <x:v>4860</x:v>
      </x:c>
      <x:c r="C63" s="17" t="n">
        <x:v>135</x:v>
      </x:c>
      <x:c r="D63" s="19" t="n">
        <x:f>B63/'参数说明'!$B$4</x:f>
        <x:v>486</x:v>
      </x:c>
      <x:c r="E63" s="19" t="n">
        <x:f>D63/'参数说明'!$B$5</x:f>
        <x:v>162</x:v>
      </x:c>
      <x:c r="F63" s="21" t="n">
        <x:f>D63/'参数说明'!$B$6</x:f>
        <x:v>81</x:v>
      </x:c>
    </x:row>
    <x:row r="64">
      <x:c r="A64" s="11" t="n">
        <x:v>62</x:v>
      </x:c>
      <x:c r="B64" s="17" t="n">
        <x:v>4995</x:v>
      </x:c>
      <x:c r="C64" s="17" t="n">
        <x:v>135</x:v>
      </x:c>
      <x:c r="D64" s="19" t="n">
        <x:f>B64/'参数说明'!$B$4</x:f>
        <x:v>499.5</x:v>
      </x:c>
      <x:c r="E64" s="19" t="n">
        <x:f>D64/'参数说明'!$B$5</x:f>
        <x:v>166.5</x:v>
      </x:c>
      <x:c r="F64" s="21" t="n">
        <x:f>D64/'参数说明'!$B$6</x:f>
        <x:v>83.25</x:v>
      </x:c>
    </x:row>
    <x:row r="65">
      <x:c r="A65" s="11" t="n">
        <x:v>63</x:v>
      </x:c>
      <x:c r="B65" s="17" t="n">
        <x:v>5130</x:v>
      </x:c>
      <x:c r="C65" s="17" t="n">
        <x:v>135</x:v>
      </x:c>
      <x:c r="D65" s="19" t="n">
        <x:f>B65/'参数说明'!$B$4</x:f>
        <x:v>513</x:v>
      </x:c>
      <x:c r="E65" s="19" t="n">
        <x:f>D65/'参数说明'!$B$5</x:f>
        <x:v>171</x:v>
      </x:c>
      <x:c r="F65" s="21" t="n">
        <x:f>D65/'参数说明'!$B$6</x:f>
        <x:v>85.5</x:v>
      </x:c>
    </x:row>
    <x:row r="66">
      <x:c r="A66" s="11" t="n">
        <x:v>64</x:v>
      </x:c>
      <x:c r="B66" s="17" t="n">
        <x:v>5265</x:v>
      </x:c>
      <x:c r="C66" s="17" t="n">
        <x:v>135</x:v>
      </x:c>
      <x:c r="D66" s="19" t="n">
        <x:f>B66/'参数说明'!$B$4</x:f>
        <x:v>526.5</x:v>
      </x:c>
      <x:c r="E66" s="19" t="n">
        <x:f>D66/'参数说明'!$B$5</x:f>
        <x:v>175.5</x:v>
      </x:c>
      <x:c r="F66" s="21" t="n">
        <x:f>D66/'参数说明'!$B$6</x:f>
        <x:v>87.75</x:v>
      </x:c>
    </x:row>
    <x:row r="67">
      <x:c r="A67" s="11" t="n">
        <x:v>65</x:v>
      </x:c>
      <x:c r="B67" s="17" t="n">
        <x:v>5400</x:v>
      </x:c>
      <x:c r="C67" s="17" t="n">
        <x:v>160</x:v>
      </x:c>
      <x:c r="D67" s="19" t="n">
        <x:f>B67/'参数说明'!$B$4</x:f>
        <x:v>540</x:v>
      </x:c>
      <x:c r="E67" s="19" t="n">
        <x:f>D67/'参数说明'!$B$5</x:f>
        <x:v>180</x:v>
      </x:c>
      <x:c r="F67" s="21" t="n">
        <x:f>D67/'参数说明'!$B$6</x:f>
        <x:v>90</x:v>
      </x:c>
    </x:row>
    <x:row r="68">
      <x:c r="A68" s="11" t="n">
        <x:v>66</x:v>
      </x:c>
      <x:c r="B68" s="17" t="n">
        <x:v>5560</x:v>
      </x:c>
      <x:c r="C68" s="17" t="n">
        <x:v>155</x:v>
      </x:c>
      <x:c r="D68" s="19" t="n">
        <x:f>B68/'参数说明'!$B$4</x:f>
        <x:v>556</x:v>
      </x:c>
      <x:c r="E68" s="19" t="n">
        <x:f>D68/'参数说明'!$B$5</x:f>
        <x:v>185.33333333333334</x:v>
      </x:c>
      <x:c r="F68" s="21" t="n">
        <x:f>D68/'参数说明'!$B$6</x:f>
        <x:v>92.66666666666667</x:v>
      </x:c>
    </x:row>
    <x:row r="69">
      <x:c r="A69" s="11" t="n">
        <x:v>67</x:v>
      </x:c>
      <x:c r="B69" s="17" t="n">
        <x:v>5715</x:v>
      </x:c>
      <x:c r="C69" s="17" t="n">
        <x:v>160</x:v>
      </x:c>
      <x:c r="D69" s="19" t="n">
        <x:f>B69/'参数说明'!$B$4</x:f>
        <x:v>571.5</x:v>
      </x:c>
      <x:c r="E69" s="19" t="n">
        <x:f>D69/'参数说明'!$B$5</x:f>
        <x:v>190.5</x:v>
      </x:c>
      <x:c r="F69" s="21" t="n">
        <x:f>D69/'参数说明'!$B$6</x:f>
        <x:v>95.25</x:v>
      </x:c>
    </x:row>
    <x:row r="70">
      <x:c r="A70" s="11" t="n">
        <x:v>68</x:v>
      </x:c>
      <x:c r="B70" s="17" t="n">
        <x:v>5875</x:v>
      </x:c>
      <x:c r="C70" s="17" t="n">
        <x:v>160</x:v>
      </x:c>
      <x:c r="D70" s="19" t="n">
        <x:f>B70/'参数说明'!$B$4</x:f>
        <x:v>587.5</x:v>
      </x:c>
      <x:c r="E70" s="19" t="n">
        <x:f>D70/'参数说明'!$B$5</x:f>
        <x:v>195.83333333333334</x:v>
      </x:c>
      <x:c r="F70" s="21" t="n">
        <x:f>D70/'参数说明'!$B$6</x:f>
        <x:v>97.91666666666667</x:v>
      </x:c>
    </x:row>
    <x:row r="71">
      <x:c r="A71" s="11" t="n">
        <x:v>69</x:v>
      </x:c>
      <x:c r="B71" s="17" t="n">
        <x:v>6035</x:v>
      </x:c>
      <x:c r="C71" s="17" t="n">
        <x:v>160</x:v>
      </x:c>
      <x:c r="D71" s="19" t="n">
        <x:f>B71/'参数说明'!$B$4</x:f>
        <x:v>603.5</x:v>
      </x:c>
      <x:c r="E71" s="19" t="n">
        <x:f>D71/'参数说明'!$B$5</x:f>
        <x:v>201.16666666666666</x:v>
      </x:c>
      <x:c r="F71" s="21" t="n">
        <x:f>D71/'参数说明'!$B$6</x:f>
        <x:v>100.58333333333333</x:v>
      </x:c>
    </x:row>
    <x:row r="72">
      <x:c r="A72" s="11" t="n">
        <x:v>70</x:v>
      </x:c>
      <x:c r="B72" s="17" t="n">
        <x:v>6195</x:v>
      </x:c>
      <x:c r="C72" s="17" t="n">
        <x:v>155</x:v>
      </x:c>
      <x:c r="D72" s="19" t="n">
        <x:f>B72/'参数说明'!$B$4</x:f>
        <x:v>619.5</x:v>
      </x:c>
      <x:c r="E72" s="19" t="n">
        <x:f>D72/'参数说明'!$B$5</x:f>
        <x:v>206.5</x:v>
      </x:c>
      <x:c r="F72" s="21" t="n">
        <x:f>D72/'参数说明'!$B$6</x:f>
        <x:v>103.25</x:v>
      </x:c>
    </x:row>
    <x:row r="73">
      <x:c r="A73" s="11" t="n">
        <x:v>71</x:v>
      </x:c>
      <x:c r="B73" s="17" t="n">
        <x:v>6350</x:v>
      </x:c>
      <x:c r="C73" s="17" t="n">
        <x:v>160</x:v>
      </x:c>
      <x:c r="D73" s="19" t="n">
        <x:f>B73/'参数说明'!$B$4</x:f>
        <x:v>635</x:v>
      </x:c>
      <x:c r="E73" s="19" t="n">
        <x:f>D73/'参数说明'!$B$5</x:f>
        <x:v>211.66666666666666</x:v>
      </x:c>
      <x:c r="F73" s="21" t="n">
        <x:f>D73/'参数说明'!$B$6</x:f>
        <x:v>105.83333333333333</x:v>
      </x:c>
    </x:row>
    <x:row r="74">
      <x:c r="A74" s="11" t="n">
        <x:v>72</x:v>
      </x:c>
      <x:c r="B74" s="17" t="n">
        <x:v>6510</x:v>
      </x:c>
      <x:c r="C74" s="17" t="n">
        <x:v>160</x:v>
      </x:c>
      <x:c r="D74" s="19" t="n">
        <x:f>B74/'参数说明'!$B$4</x:f>
        <x:v>651</x:v>
      </x:c>
      <x:c r="E74" s="19" t="n">
        <x:f>D74/'参数说明'!$B$5</x:f>
        <x:v>217</x:v>
      </x:c>
      <x:c r="F74" s="21" t="n">
        <x:f>D74/'参数说明'!$B$6</x:f>
        <x:v>108.5</x:v>
      </x:c>
    </x:row>
    <x:row r="75">
      <x:c r="A75" s="11" t="n">
        <x:v>73</x:v>
      </x:c>
      <x:c r="B75" s="17" t="n">
        <x:v>6670</x:v>
      </x:c>
      <x:c r="C75" s="17" t="n">
        <x:v>155</x:v>
      </x:c>
      <x:c r="D75" s="19" t="n">
        <x:f>B75/'参数说明'!$B$4</x:f>
        <x:v>667</x:v>
      </x:c>
      <x:c r="E75" s="19" t="n">
        <x:f>D75/'参数说明'!$B$5</x:f>
        <x:v>222.33333333333334</x:v>
      </x:c>
      <x:c r="F75" s="21" t="n">
        <x:f>D75/'参数说明'!$B$6</x:f>
        <x:v>111.16666666666667</x:v>
      </x:c>
    </x:row>
    <x:row r="76">
      <x:c r="A76" s="11" t="n">
        <x:v>74</x:v>
      </x:c>
      <x:c r="B76" s="17" t="n">
        <x:v>6825</x:v>
      </x:c>
      <x:c r="C76" s="17" t="n">
        <x:v>160</x:v>
      </x:c>
      <x:c r="D76" s="19" t="n">
        <x:f>B76/'参数说明'!$B$4</x:f>
        <x:v>682.5</x:v>
      </x:c>
      <x:c r="E76" s="19" t="n">
        <x:f>D76/'参数说明'!$B$5</x:f>
        <x:v>227.5</x:v>
      </x:c>
      <x:c r="F76" s="21" t="n">
        <x:f>D76/'参数说明'!$B$6</x:f>
        <x:v>113.75</x:v>
      </x:c>
    </x:row>
    <x:row r="77">
      <x:c r="A77" s="11" t="n">
        <x:v>75</x:v>
      </x:c>
      <x:c r="B77" s="17" t="n">
        <x:v>6985</x:v>
      </x:c>
      <x:c r="C77" s="17" t="n">
        <x:v>160</x:v>
      </x:c>
      <x:c r="D77" s="19" t="n">
        <x:f>B77/'参数说明'!$B$4</x:f>
        <x:v>698.5</x:v>
      </x:c>
      <x:c r="E77" s="19" t="n">
        <x:f>D77/'参数说明'!$B$5</x:f>
        <x:v>232.83333333333334</x:v>
      </x:c>
      <x:c r="F77" s="21" t="n">
        <x:f>D77/'参数说明'!$B$6</x:f>
        <x:v>116.41666666666667</x:v>
      </x:c>
    </x:row>
    <x:row r="78">
      <x:c r="A78" s="11" t="n">
        <x:v>76</x:v>
      </x:c>
      <x:c r="B78" s="17" t="n">
        <x:v>7145</x:v>
      </x:c>
      <x:c r="C78" s="17" t="n">
        <x:v>160</x:v>
      </x:c>
      <x:c r="D78" s="19" t="n">
        <x:f>B78/'参数说明'!$B$4</x:f>
        <x:v>714.5</x:v>
      </x:c>
      <x:c r="E78" s="19" t="n">
        <x:f>D78/'参数说明'!$B$5</x:f>
        <x:v>238.16666666666666</x:v>
      </x:c>
      <x:c r="F78" s="21" t="n">
        <x:f>D78/'参数说明'!$B$6</x:f>
        <x:v>119.08333333333333</x:v>
      </x:c>
    </x:row>
    <x:row r="79">
      <x:c r="A79" s="11" t="n">
        <x:v>77</x:v>
      </x:c>
      <x:c r="B79" s="17" t="n">
        <x:v>7305</x:v>
      </x:c>
      <x:c r="C79" s="17" t="n">
        <x:v>155</x:v>
      </x:c>
      <x:c r="D79" s="19" t="n">
        <x:f>B79/'参数说明'!$B$4</x:f>
        <x:v>730.5</x:v>
      </x:c>
      <x:c r="E79" s="19" t="n">
        <x:f>D79/'参数说明'!$B$5</x:f>
        <x:v>243.5</x:v>
      </x:c>
      <x:c r="F79" s="21" t="n">
        <x:f>D79/'参数说明'!$B$6</x:f>
        <x:v>121.75</x:v>
      </x:c>
    </x:row>
    <x:row r="80">
      <x:c r="A80" s="11" t="n">
        <x:v>78</x:v>
      </x:c>
      <x:c r="B80" s="17" t="n">
        <x:v>7460</x:v>
      </x:c>
      <x:c r="C80" s="17" t="n">
        <x:v>160</x:v>
      </x:c>
      <x:c r="D80" s="19" t="n">
        <x:f>B80/'参数说明'!$B$4</x:f>
        <x:v>746</x:v>
      </x:c>
      <x:c r="E80" s="19" t="n">
        <x:f>D80/'参数说明'!$B$5</x:f>
        <x:v>248.66666666666666</x:v>
      </x:c>
      <x:c r="F80" s="21" t="n">
        <x:f>D80/'参数说明'!$B$6</x:f>
        <x:v>124.33333333333333</x:v>
      </x:c>
    </x:row>
    <x:row r="81">
      <x:c r="A81" s="11" t="n">
        <x:v>79</x:v>
      </x:c>
      <x:c r="B81" s="17" t="n">
        <x:v>7620</x:v>
      </x:c>
      <x:c r="C81" s="17" t="n">
        <x:v>160</x:v>
      </x:c>
      <x:c r="D81" s="19" t="n">
        <x:f>B81/'参数说明'!$B$4</x:f>
        <x:v>762</x:v>
      </x:c>
      <x:c r="E81" s="19" t="n">
        <x:f>D81/'参数说明'!$B$5</x:f>
        <x:v>254</x:v>
      </x:c>
      <x:c r="F81" s="21" t="n">
        <x:f>D81/'参数说明'!$B$6</x:f>
        <x:v>127</x:v>
      </x:c>
    </x:row>
    <x:row r="82">
      <x:c r="A82" s="11" t="n">
        <x:v>80</x:v>
      </x:c>
      <x:c r="B82" s="17" t="n">
        <x:v>7780</x:v>
      </x:c>
      <x:c r="C82" s="17" t="n">
        <x:v>155</x:v>
      </x:c>
      <x:c r="D82" s="19" t="n">
        <x:f>B82/'参数说明'!$B$4</x:f>
        <x:v>778</x:v>
      </x:c>
      <x:c r="E82" s="19" t="n">
        <x:f>D82/'参数说明'!$B$5</x:f>
        <x:v>259.3333333333333</x:v>
      </x:c>
      <x:c r="F82" s="21" t="n">
        <x:f>D82/'参数说明'!$B$6</x:f>
        <x:v>129.66666666666666</x:v>
      </x:c>
    </x:row>
    <x:row r="83">
      <x:c r="A83" s="11" t="n">
        <x:v>81</x:v>
      </x:c>
      <x:c r="B83" s="17" t="n">
        <x:v>7935</x:v>
      </x:c>
      <x:c r="C83" s="17" t="n">
        <x:v>160</x:v>
      </x:c>
      <x:c r="D83" s="19" t="n">
        <x:f>B83/'参数说明'!$B$4</x:f>
        <x:v>793.5</x:v>
      </x:c>
      <x:c r="E83" s="19" t="n">
        <x:f>D83/'参数说明'!$B$5</x:f>
        <x:v>264.5</x:v>
      </x:c>
      <x:c r="F83" s="21" t="n">
        <x:f>D83/'参数说明'!$B$6</x:f>
        <x:v>132.25</x:v>
      </x:c>
    </x:row>
    <x:row r="84">
      <x:c r="A84" s="11" t="n">
        <x:v>82</x:v>
      </x:c>
      <x:c r="B84" s="17" t="n">
        <x:v>8095</x:v>
      </x:c>
      <x:c r="C84" s="17" t="n">
        <x:v>160</x:v>
      </x:c>
      <x:c r="D84" s="19" t="n">
        <x:f>B84/'参数说明'!$B$4</x:f>
        <x:v>809.5</x:v>
      </x:c>
      <x:c r="E84" s="19" t="n">
        <x:f>D84/'参数说明'!$B$5</x:f>
        <x:v>269.8333333333333</x:v>
      </x:c>
      <x:c r="F84" s="21" t="n">
        <x:f>D84/'参数说明'!$B$6</x:f>
        <x:v>134.91666666666666</x:v>
      </x:c>
    </x:row>
    <x:row r="85">
      <x:c r="A85" s="11" t="n">
        <x:v>83</x:v>
      </x:c>
      <x:c r="B85" s="17" t="n">
        <x:v>8255</x:v>
      </x:c>
      <x:c r="C85" s="17" t="n">
        <x:v>160</x:v>
      </x:c>
      <x:c r="D85" s="19" t="n">
        <x:f>B85/'参数说明'!$B$4</x:f>
        <x:v>825.5</x:v>
      </x:c>
      <x:c r="E85" s="19" t="n">
        <x:f>D85/'参数说明'!$B$5</x:f>
        <x:v>275.1666666666667</x:v>
      </x:c>
      <x:c r="F85" s="21" t="n">
        <x:f>D85/'参数说明'!$B$6</x:f>
        <x:v>137.58333333333334</x:v>
      </x:c>
    </x:row>
    <x:row r="86">
      <x:c r="A86" s="11" t="n">
        <x:v>84</x:v>
      </x:c>
      <x:c r="B86" s="17" t="n">
        <x:v>8415</x:v>
      </x:c>
      <x:c r="C86" s="17" t="n">
        <x:v>155</x:v>
      </x:c>
      <x:c r="D86" s="19" t="n">
        <x:f>B86/'参数说明'!$B$4</x:f>
        <x:v>841.5</x:v>
      </x:c>
      <x:c r="E86" s="19" t="n">
        <x:f>D86/'参数说明'!$B$5</x:f>
        <x:v>280.5</x:v>
      </x:c>
      <x:c r="F86" s="21" t="n">
        <x:f>D86/'参数说明'!$B$6</x:f>
        <x:v>140.25</x:v>
      </x:c>
    </x:row>
    <x:row r="87">
      <x:c r="A87" s="11" t="n">
        <x:v>85</x:v>
      </x:c>
      <x:c r="B87" s="17" t="n">
        <x:v>8570</x:v>
      </x:c>
      <x:c r="C87" s="17" t="n">
        <x:v>160</x:v>
      </x:c>
      <x:c r="D87" s="19" t="n">
        <x:f>B87/'参数说明'!$B$4</x:f>
        <x:v>857</x:v>
      </x:c>
      <x:c r="E87" s="19" t="n">
        <x:f>D87/'参数说明'!$B$5</x:f>
        <x:v>285.6666666666667</x:v>
      </x:c>
      <x:c r="F87" s="21" t="n">
        <x:f>D87/'参数说明'!$B$6</x:f>
        <x:v>142.83333333333334</x:v>
      </x:c>
    </x:row>
    <x:row r="88">
      <x:c r="A88" s="11" t="n">
        <x:v>86</x:v>
      </x:c>
      <x:c r="B88" s="17" t="n">
        <x:v>8730</x:v>
      </x:c>
      <x:c r="C88" s="17" t="n">
        <x:v>160</x:v>
      </x:c>
      <x:c r="D88" s="19" t="n">
        <x:f>B88/'参数说明'!$B$4</x:f>
        <x:v>873</x:v>
      </x:c>
      <x:c r="E88" s="19" t="n">
        <x:f>D88/'参数说明'!$B$5</x:f>
        <x:v>291</x:v>
      </x:c>
      <x:c r="F88" s="21" t="n">
        <x:f>D88/'参数说明'!$B$6</x:f>
        <x:v>145.5</x:v>
      </x:c>
    </x:row>
    <x:row r="89">
      <x:c r="A89" s="11" t="n">
        <x:v>87</x:v>
      </x:c>
      <x:c r="B89" s="17" t="n">
        <x:v>8890</x:v>
      </x:c>
      <x:c r="C89" s="17" t="n">
        <x:v>155</x:v>
      </x:c>
      <x:c r="D89" s="19" t="n">
        <x:f>B89/'参数说明'!$B$4</x:f>
        <x:v>889</x:v>
      </x:c>
      <x:c r="E89" s="19" t="n">
        <x:f>D89/'参数说明'!$B$5</x:f>
        <x:v>296.3333333333333</x:v>
      </x:c>
      <x:c r="F89" s="21" t="n">
        <x:f>D89/'参数说明'!$B$6</x:f>
        <x:v>148.16666666666666</x:v>
      </x:c>
    </x:row>
    <x:row r="90">
      <x:c r="A90" s="11" t="n">
        <x:v>88</x:v>
      </x:c>
      <x:c r="B90" s="17" t="n">
        <x:v>9045</x:v>
      </x:c>
      <x:c r="C90" s="17" t="n">
        <x:v>160</x:v>
      </x:c>
      <x:c r="D90" s="19" t="n">
        <x:f>B90/'参数说明'!$B$4</x:f>
        <x:v>904.5</x:v>
      </x:c>
      <x:c r="E90" s="19" t="n">
        <x:f>D90/'参数说明'!$B$5</x:f>
        <x:v>301.5</x:v>
      </x:c>
      <x:c r="F90" s="21" t="n">
        <x:f>D90/'参数说明'!$B$6</x:f>
        <x:v>150.75</x:v>
      </x:c>
    </x:row>
    <x:row r="91">
      <x:c r="A91" s="11" t="n">
        <x:v>89</x:v>
      </x:c>
      <x:c r="B91" s="17" t="n">
        <x:v>9205</x:v>
      </x:c>
      <x:c r="C91" s="17" t="n">
        <x:v>160</x:v>
      </x:c>
      <x:c r="D91" s="19" t="n">
        <x:f>B91/'参数说明'!$B$4</x:f>
        <x:v>920.5</x:v>
      </x:c>
      <x:c r="E91" s="19" t="n">
        <x:f>D91/'参数说明'!$B$5</x:f>
        <x:v>306.8333333333333</x:v>
      </x:c>
      <x:c r="F91" s="21" t="n">
        <x:f>D91/'参数说明'!$B$6</x:f>
        <x:v>153.41666666666666</x:v>
      </x:c>
    </x:row>
    <x:row r="92">
      <x:c r="A92" s="11" t="n">
        <x:v>90</x:v>
      </x:c>
      <x:c r="B92" s="17" t="n">
        <x:v>9365</x:v>
      </x:c>
      <x:c r="C92" s="17" t="n">
        <x:v>160</x:v>
      </x:c>
      <x:c r="D92" s="19" t="n">
        <x:f>B92/'参数说明'!$B$4</x:f>
        <x:v>936.5</x:v>
      </x:c>
      <x:c r="E92" s="19" t="n">
        <x:f>D92/'参数说明'!$B$5</x:f>
        <x:v>312.1666666666667</x:v>
      </x:c>
      <x:c r="F92" s="21" t="n">
        <x:f>D92/'参数说明'!$B$6</x:f>
        <x:v>156.08333333333334</x:v>
      </x:c>
    </x:row>
    <x:row r="93">
      <x:c r="A93" s="11" t="n">
        <x:v>91</x:v>
      </x:c>
      <x:c r="B93" s="17" t="n">
        <x:v>9525</x:v>
      </x:c>
      <x:c r="C93" s="17" t="n">
        <x:v>155</x:v>
      </x:c>
      <x:c r="D93" s="19" t="n">
        <x:f>B93/'参数说明'!$B$4</x:f>
        <x:v>952.5</x:v>
      </x:c>
      <x:c r="E93" s="19" t="n">
        <x:f>D93/'参数说明'!$B$5</x:f>
        <x:v>317.5</x:v>
      </x:c>
      <x:c r="F93" s="21" t="n">
        <x:f>D93/'参数说明'!$B$6</x:f>
        <x:v>158.75</x:v>
      </x:c>
    </x:row>
    <x:row r="94">
      <x:c r="A94" s="11" t="n">
        <x:v>92</x:v>
      </x:c>
      <x:c r="B94" s="17" t="n">
        <x:v>9680</x:v>
      </x:c>
      <x:c r="C94" s="17" t="n">
        <x:v>160</x:v>
      </x:c>
      <x:c r="D94" s="19" t="n">
        <x:f>B94/'参数说明'!$B$4</x:f>
        <x:v>968</x:v>
      </x:c>
      <x:c r="E94" s="19" t="n">
        <x:f>D94/'参数说明'!$B$5</x:f>
        <x:v>322.6666666666667</x:v>
      </x:c>
      <x:c r="F94" s="21" t="n">
        <x:f>D94/'参数说明'!$B$6</x:f>
        <x:v>161.33333333333334</x:v>
      </x:c>
    </x:row>
    <x:row r="95">
      <x:c r="A95" s="11" t="n">
        <x:v>93</x:v>
      </x:c>
      <x:c r="B95" s="17" t="n">
        <x:v>9840</x:v>
      </x:c>
      <x:c r="C95" s="17" t="n">
        <x:v>160</x:v>
      </x:c>
      <x:c r="D95" s="19" t="n">
        <x:f>B95/'参数说明'!$B$4</x:f>
        <x:v>984</x:v>
      </x:c>
      <x:c r="E95" s="19" t="n">
        <x:f>D95/'参数说明'!$B$5</x:f>
        <x:v>328</x:v>
      </x:c>
      <x:c r="F95" s="21" t="n">
        <x:f>D95/'参数说明'!$B$6</x:f>
        <x:v>164</x:v>
      </x:c>
    </x:row>
    <x:row r="96">
      <x:c r="A96" s="11" t="n">
        <x:v>94</x:v>
      </x:c>
      <x:c r="B96" s="17" t="n">
        <x:v>10000</x:v>
      </x:c>
      <x:c r="C96" s="17" t="n">
        <x:v>155</x:v>
      </x:c>
      <x:c r="D96" s="19" t="n">
        <x:f>B96/'参数说明'!$B$4</x:f>
        <x:v>1000</x:v>
      </x:c>
      <x:c r="E96" s="19" t="n">
        <x:f>D96/'参数说明'!$B$5</x:f>
        <x:v>333.3333333333333</x:v>
      </x:c>
      <x:c r="F96" s="21" t="n">
        <x:f>D96/'参数说明'!$B$6</x:f>
        <x:v>166.66666666666666</x:v>
      </x:c>
    </x:row>
    <x:row r="97">
      <x:c r="A97" s="11" t="n">
        <x:v>95</x:v>
      </x:c>
      <x:c r="B97" s="17" t="n">
        <x:v>10155</x:v>
      </x:c>
      <x:c r="C97" s="17" t="n">
        <x:v>160</x:v>
      </x:c>
      <x:c r="D97" s="19" t="n">
        <x:f>B97/'参数说明'!$B$4</x:f>
        <x:v>1015.5</x:v>
      </x:c>
      <x:c r="E97" s="19" t="n">
        <x:f>D97/'参数说明'!$B$5</x:f>
        <x:v>338.5</x:v>
      </x:c>
      <x:c r="F97" s="21" t="n">
        <x:f>D97/'参数说明'!$B$6</x:f>
        <x:v>169.25</x:v>
      </x:c>
    </x:row>
    <x:row r="98">
      <x:c r="A98" s="11" t="n">
        <x:v>96</x:v>
      </x:c>
      <x:c r="B98" s="17" t="n">
        <x:v>10315</x:v>
      </x:c>
      <x:c r="C98" s="17" t="n">
        <x:v>160</x:v>
      </x:c>
      <x:c r="D98" s="19" t="n">
        <x:f>B98/'参数说明'!$B$4</x:f>
        <x:v>1031.5</x:v>
      </x:c>
      <x:c r="E98" s="19" t="n">
        <x:f>D98/'参数说明'!$B$5</x:f>
        <x:v>343.8333333333333</x:v>
      </x:c>
      <x:c r="F98" s="21" t="n">
        <x:f>D98/'参数说明'!$B$6</x:f>
        <x:v>171.91666666666666</x:v>
      </x:c>
    </x:row>
    <x:row r="99">
      <x:c r="A99" s="11" t="n">
        <x:v>97</x:v>
      </x:c>
      <x:c r="B99" s="17" t="n">
        <x:v>10475</x:v>
      </x:c>
      <x:c r="C99" s="17" t="n">
        <x:v>160</x:v>
      </x:c>
      <x:c r="D99" s="19" t="n">
        <x:f>B99/'参数说明'!$B$4</x:f>
        <x:v>1047.5</x:v>
      </x:c>
      <x:c r="E99" s="19" t="n">
        <x:f>D99/'参数说明'!$B$5</x:f>
        <x:v>349.1666666666667</x:v>
      </x:c>
      <x:c r="F99" s="21" t="n">
        <x:f>D99/'参数说明'!$B$6</x:f>
        <x:v>174.58333333333334</x:v>
      </x:c>
    </x:row>
    <x:row r="100">
      <x:c r="A100" s="11" t="n">
        <x:v>98</x:v>
      </x:c>
      <x:c r="B100" s="17" t="n">
        <x:v>10635</x:v>
      </x:c>
      <x:c r="C100" s="17" t="n">
        <x:v>155</x:v>
      </x:c>
      <x:c r="D100" s="19" t="n">
        <x:f>B100/'参数说明'!$B$4</x:f>
        <x:v>1063.5</x:v>
      </x:c>
      <x:c r="E100" s="19" t="n">
        <x:f>D100/'参数说明'!$B$5</x:f>
        <x:v>354.5</x:v>
      </x:c>
      <x:c r="F100" s="21" t="n">
        <x:f>D100/'参数说明'!$B$6</x:f>
        <x:v>177.25</x:v>
      </x:c>
    </x:row>
    <x:row r="101">
      <x:c r="A101" s="11" t="n">
        <x:v>99</x:v>
      </x:c>
      <x:c r="B101" s="17" t="n">
        <x:v>10790</x:v>
      </x:c>
      <x:c r="C101" s="17" t="n">
        <x:v>160</x:v>
      </x:c>
      <x:c r="D101" s="19" t="n">
        <x:f>B101/'参数说明'!$B$4</x:f>
        <x:v>1079</x:v>
      </x:c>
      <x:c r="E101" s="19" t="n">
        <x:f>D101/'参数说明'!$B$5</x:f>
        <x:v>359.6666666666667</x:v>
      </x:c>
      <x:c r="F101" s="21" t="n">
        <x:f>D101/'参数说明'!$B$6</x:f>
        <x:v>179.83333333333334</x:v>
      </x:c>
    </x:row>
    <x:row r="102">
      <x:c r="A102" s="14" t="n">
        <x:v>100</x:v>
      </x:c>
      <x:c r="B102" s="18" t="n">
        <x:v>10950</x:v>
      </x:c>
      <x:c r="C102" s="18"/>
      <x:c r="D102" s="20" t="n">
        <x:f>B102/'参数说明'!$B$4</x:f>
        <x:v>1095</x:v>
      </x:c>
      <x:c r="E102" s="20" t="n">
        <x:f>D102/'参数说明'!$B$5</x:f>
        <x:v>365</x:v>
      </x:c>
      <x:c r="F102" s="22" t="n">
        <x:f>D102/'参数说明'!$B$6</x:f>
        <x:v>182.5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8" hidden="0" customWidth="1"/>
    <x:col min="4" max="4" width="12" hidden="0" customWidth="1"/>
  </x:cols>
  <x:sheetData>
    <x:row r="1" ht="30" customHeight="1">
      <x:c r="A1" s="38" t="str">
        <x:v>等级经验系统参数</x:v>
      </x:c>
      <x:c r="B1" s="60"/>
      <x:c r="C1" s="60"/>
      <x:c r="D1" s="60"/>
    </x:row>
    <x:row r="2">
      <x:c r="A2" s="60"/>
      <x:c r="B2" s="60"/>
      <x:c r="C2" s="60"/>
      <x:c r="D2" s="60"/>
    </x:row>
    <x:row r="3">
      <x:c r="A3" s="31" t="str">
        <x:v>参数</x:v>
      </x:c>
      <x:c r="B3" s="31" t="str">
        <x:v>值</x:v>
      </x:c>
      <x:c r="C3" s="60"/>
      <x:c r="D3" s="60"/>
    </x:row>
    <x:row r="4">
      <x:c r="A4" s="32" t="str">
        <x:v>基础 level XP</x:v>
      </x:c>
      <x:c r="B4" s="40" t="n">
        <x:v>10</x:v>
      </x:c>
      <x:c r="C4" s="60"/>
      <x:c r="D4" s="60"/>
    </x:row>
    <x:row r="5">
      <x:c r="A5" s="32" t="str">
        <x:v>普通用户每日 level</x:v>
      </x:c>
      <x:c r="B5" s="41" t="n">
        <x:v>3</x:v>
      </x:c>
      <x:c r="C5" s="60"/>
      <x:c r="D5" s="60"/>
    </x:row>
    <x:row r="6">
      <x:c r="A6" s="32" t="str">
        <x:v>深度用户每日 level</x:v>
      </x:c>
      <x:c r="B6" s="41" t="n">
        <x:v>6</x:v>
      </x:c>
      <x:c r="C6" s="60"/>
      <x:c r="D6" s="60"/>
    </x:row>
    <x:row r="7">
      <x:c r="A7" s="32" t="str">
        <x:v>普通用户每日基础 XP</x:v>
      </x:c>
      <x:c r="B7" s="40" t="n">
        <x:f>B4*B5</x:f>
        <x:v>30</x:v>
      </x:c>
      <x:c r="C7" s="60"/>
      <x:c r="D7" s="60"/>
    </x:row>
    <x:row r="8">
      <x:c r="A8" s="32" t="str">
        <x:v>深度用户每日基础 XP</x:v>
      </x:c>
      <x:c r="B8" s="40" t="n">
        <x:f>B4*B6</x:f>
        <x:v>60</x:v>
      </x:c>
      <x:c r="C8" s="60"/>
      <x:c r="D8" s="60"/>
    </x:row>
    <x:row r="9">
      <x:c r="A9" s="32" t="str">
        <x:v>等级上限</x:v>
      </x:c>
      <x:c r="B9" s="40" t="n">
        <x:v>100</x:v>
      </x:c>
      <x:c r="C9" s="60"/>
      <x:c r="D9" s="60"/>
    </x:row>
    <x:row r="10">
      <x:c r="A10" s="32" t="str">
        <x:v>复习单次 XP</x:v>
      </x:c>
      <x:c r="B10" s="40" t="n">
        <x:v>5</x:v>
      </x:c>
      <x:c r="C10" s="60"/>
      <x:c r="D10" s="60"/>
    </x:row>
    <x:row r="11">
      <x:c r="A11" s="32" t="str">
        <x:v>复习每日计入 XP 上限</x:v>
      </x:c>
      <x:c r="B11" s="40" t="n">
        <x:v>30</x:v>
      </x:c>
      <x:c r="C11" s="60"/>
      <x:c r="D11" s="60"/>
    </x:row>
    <x:row r="12">
      <x:c r="A12" s="32" t="str">
        <x:v>每日有效 XP 软上限</x:v>
      </x:c>
      <x:c r="B12" s="32" t="str">
        <x:v>0-150 100%，151-300 50%，300+ 20%</x:v>
      </x:c>
      <x:c r="C12" s="60"/>
      <x:c r="D12" s="60"/>
    </x:row>
    <x:row r="13">
      <x:c r="A13" s="60"/>
      <x:c r="B13" s="60"/>
      <x:c r="C13" s="60"/>
      <x:c r="D13" s="60"/>
    </x:row>
    <x:row r="14">
      <x:c r="A14" s="31" t="str">
        <x:v>等级锚点</x:v>
      </x:c>
      <x:c r="B14" s="31" t="str">
        <x:v>累计 XP</x:v>
      </x:c>
      <x:c r="C14" s="31" t="str">
        <x:v>说明</x:v>
      </x:c>
      <x:c r="D14" s="60"/>
    </x:row>
    <x:row r="15">
      <x:c r="A15" s="32" t="str">
        <x:v>Lv0</x:v>
      </x:c>
      <x:c r="B15" s="40" t="n">
        <x:v>0</x:v>
      </x:c>
      <x:c r="C15" s="32" t="str">
        <x:v>初始等级</x:v>
      </x:c>
      <x:c r="D15" s="60"/>
    </x:row>
    <x:row r="16">
      <x:c r="A16" s="32" t="str">
        <x:v>Lv3</x:v>
      </x:c>
      <x:c r="B16" s="40" t="n">
        <x:v>30</x:v>
      </x:c>
      <x:c r="C16" s="32" t="str">
        <x:v>普通用户首日约到 Lv3</x:v>
      </x:c>
      <x:c r="D16" s="60"/>
    </x:row>
    <x:row r="17">
      <x:c r="A17" s="32" t="str">
        <x:v>Lv10</x:v>
      </x:c>
      <x:c r="B17" s="40" t="n">
        <x:v>210</x:v>
      </x:c>
      <x:c r="C17" s="32" t="str">
        <x:v>普通用户 7 日约到 Lv10</x:v>
      </x:c>
      <x:c r="D17" s="60"/>
    </x:row>
    <x:row r="18">
      <x:c r="A18" s="32" t="str">
        <x:v>Lv25</x:v>
      </x:c>
      <x:c r="B18" s="40" t="n">
        <x:v>900</x:v>
      </x:c>
      <x:c r="C18" s="32" t="str">
        <x:v>普通用户 30 日约到 Lv25</x:v>
      </x:c>
      <x:c r="D18" s="60"/>
    </x:row>
    <x:row r="19">
      <x:c r="A19" s="32" t="str">
        <x:v>Lv45</x:v>
      </x:c>
      <x:c r="B19" s="40" t="n">
        <x:v>2700</x:v>
      </x:c>
      <x:c r="C19" s="32" t="str">
        <x:v>普通用户 90 日约到 Lv45</x:v>
      </x:c>
      <x:c r="D19" s="60"/>
    </x:row>
    <x:row r="20">
      <x:c r="A20" s="32" t="str">
        <x:v>Lv65</x:v>
      </x:c>
      <x:c r="B20" s="40" t="n">
        <x:v>5400</x:v>
      </x:c>
      <x:c r="C20" s="32" t="str">
        <x:v>普通用户 180 日约到 Lv65</x:v>
      </x:c>
      <x:c r="D20" s="60"/>
    </x:row>
    <x:row r="21">
      <x:c r="A21" s="32" t="str">
        <x:v>Lv100</x:v>
      </x:c>
      <x:c r="B21" s="40" t="n">
        <x:v>10950</x:v>
      </x:c>
      <x:c r="C21" s="32" t="str">
        <x:v>普通用户 365 日约到 Lv100</x:v>
      </x:c>
      <x:c r="D21" s="60"/>
    </x:row>
    <x:row r="22">
      <x:c r="A22" s="60"/>
      <x:c r="B22" s="60"/>
      <x:c r="C22" s="60"/>
      <x:c r="D22" s="60"/>
    </x:row>
    <x:row r="23">
      <x:c r="A23" s="61" t="str">
        <x:v>口径说明</x:v>
      </x:c>
      <x:c r="B23" s="62" t="str"/>
      <x:c r="C23" s="62" t="str"/>
      <x:c r="D23" s="62" t="str"/>
    </x:row>
    <x:row r="24">
      <x:c r="A24" s="63" t="str">
        <x:v>1</x:v>
      </x:c>
      <x:c r="B24" s="63" t="str">
        <x:v>当前等级曲线仍锚定基础学习 XP：1 level = 10 XP，普通用户约 3 level/日。</x:v>
      </x:c>
      <x:c r="C24" s="63" t="str"/>
      <x:c r="D24" s="63" t="str"/>
    </x:row>
    <x:row r="25">
      <x:c r="A25" s="63" t="str">
        <x:v>2</x:v>
      </x:c>
      <x:c r="B25" s="63" t="str">
        <x:v>排行榜使用本周有效 XP，每周清零；累计 XP 用于长期等级身份。</x:v>
      </x:c>
      <x:c r="C25" s="63" t="str"/>
      <x:c r="D25" s="63" t="str"/>
    </x:row>
    <x:row r="26">
      <x:c r="A26" s="63" t="str">
        <x:v>3</x:v>
      </x:c>
      <x:c r="B26" s="63" t="str">
        <x:v>第一版不引入 Coins，排行榜奖励先用徽章、称号、头像框试用和展示标记。</x:v>
      </x:c>
      <x:c r="C26" s="63" t="str"/>
      <x:c r="D26" s="63" t="str"/>
    </x:row>
    <x:row r="27">
      <x:c r="A27" s="63" t="str">
        <x:v>4</x:v>
      </x:c>
      <x:c r="B27" s="63" t="str">
        <x:v>任务和倍卡暂不进入第一版；后续上线时优先不直接发大量 XP。</x:v>
      </x:c>
      <x:c r="C27" s="63" t="str"/>
      <x:c r="D27" s="63" t="str"/>
    </x:row>
    <x:row r="28">
      <x:c r="A28" s="63" t="str">
        <x:v>5</x:v>
      </x:c>
      <x:c r="B28" s="63" t="str">
        <x:v>复习给低 XP 且每日限量，避免旧内容成为刷榜最优路径。</x:v>
      </x:c>
      <x:c r="C28" s="63" t="str"/>
      <x:c r="D28" s="63" t="str"/>
    </x:row>
    <x:row r="29">
      <x:c r="A29" s="64" t="str">
        <x:v>6</x:v>
      </x:c>
      <x:c r="B29" s="64" t="str">
        <x:v>如果后续实际 XP 膨胀超过 25%，优先调中后段等级门槛或限制奖励 XP 入账。</x:v>
      </x:c>
      <x:c r="C29" s="64" t="str"/>
      <x:c r="D29" s="64" t="str"/>
    </x:row>
  </x:sheetData>
  <x:mergeCells>
    <x:mergeCell ref="A1:D1"/>
    <x:mergeCell ref="A23:D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1" t="str">
        <x:v>周期</x:v>
      </x:c>
      <x:c r="B1" s="31" t="str">
        <x:v>留存率</x:v>
      </x:c>
      <x:c r="C1" s="31" t="str">
        <x:v>普通用户活跃 XP</x:v>
      </x:c>
      <x:c r="D1" s="31" t="str">
        <x:v>普通用户目标等级</x:v>
      </x:c>
      <x:c r="E1" s="31" t="str">
        <x:v>深度用户活跃 XP</x:v>
      </x:c>
      <x:c r="F1" s="31" t="str">
        <x:v>深度用户目标等级</x:v>
      </x:c>
      <x:c r="G1" s="31" t="str">
        <x:v>注册 cohort 期望 XP</x:v>
      </x:c>
    </x:row>
    <x:row r="2">
      <x:c r="A2" s="32" t="str">
        <x:v>D1</x:v>
      </x:c>
      <x:c r="B2" s="42" t="n">
        <x:v>0.5</x:v>
      </x:c>
      <x:c r="C2" s="40" t="n">
        <x:v>30</x:v>
      </x:c>
      <x:c r="D2" s="40" t="n">
        <x:f>LOOKUP(C2,'等级经验对照表'!$B$2:$B$102,'等级经验对照表'!$A$2:$A$102)</x:f>
        <x:v>3</x:v>
      </x:c>
      <x:c r="E2" s="40" t="n">
        <x:v>60</x:v>
      </x:c>
      <x:c r="F2" s="40" t="n">
        <x:f>LOOKUP(E2,'等级经验对照表'!$B$2:$B$102,'等级经验对照表'!$A$2:$A$102)</x:f>
        <x:v>4</x:v>
      </x:c>
      <x:c r="G2" s="40" t="n">
        <x:v>15</x:v>
      </x:c>
    </x:row>
    <x:row r="3">
      <x:c r="A3" s="32" t="str">
        <x:v>D7</x:v>
      </x:c>
      <x:c r="B3" s="42" t="n">
        <x:v>0.35</x:v>
      </x:c>
      <x:c r="C3" s="40" t="n">
        <x:v>210</x:v>
      </x:c>
      <x:c r="D3" s="40" t="n">
        <x:f>LOOKUP(C3,'等级经验对照表'!$B$2:$B$102,'等级经验对照表'!$A$2:$A$102)</x:f>
        <x:v>10</x:v>
      </x:c>
      <x:c r="E3" s="40" t="n">
        <x:v>420</x:v>
      </x:c>
      <x:c r="F3" s="40" t="n">
        <x:f>LOOKUP(E3,'等级经验对照表'!$B$2:$B$102,'等级经验对照表'!$A$2:$A$102)</x:f>
        <x:v>14</x:v>
      </x:c>
      <x:c r="G3" s="40" t="n">
        <x:v>89</x:v>
      </x:c>
    </x:row>
    <x:row r="4">
      <x:c r="A4" s="32" t="str">
        <x:v>D30</x:v>
      </x:c>
      <x:c r="B4" s="42" t="n">
        <x:v>0.2</x:v>
      </x:c>
      <x:c r="C4" s="40" t="n">
        <x:v>900</x:v>
      </x:c>
      <x:c r="D4" s="40" t="n">
        <x:f>LOOKUP(C4,'等级经验对照表'!$B$2:$B$102,'等级经验对照表'!$A$2:$A$102)</x:f>
        <x:v>25</x:v>
      </x:c>
      <x:c r="E4" s="40" t="n">
        <x:v>1800</x:v>
      </x:c>
      <x:c r="F4" s="40" t="n">
        <x:f>LOOKUP(E4,'等级经验对照表'!$B$2:$B$102,'等级经验对照表'!$A$2:$A$102)</x:f>
        <x:v>35</x:v>
      </x:c>
      <x:c r="G4" s="40" t="n">
        <x:v>277</x:v>
      </x:c>
    </x:row>
    <x:row r="5">
      <x:c r="A5" s="32" t="str">
        <x:v>D90</x:v>
      </x:c>
      <x:c r="B5" s="42" t="n">
        <x:v>0.2</x:v>
      </x:c>
      <x:c r="C5" s="40" t="n">
        <x:v>2700</x:v>
      </x:c>
      <x:c r="D5" s="40" t="n">
        <x:f>LOOKUP(C5,'等级经验对照表'!$B$2:$B$102,'等级经验对照表'!$A$2:$A$102)</x:f>
        <x:v>45</x:v>
      </x:c>
      <x:c r="E5" s="40" t="n">
        <x:v>5400</x:v>
      </x:c>
      <x:c r="F5" s="40" t="n">
        <x:f>LOOKUP(E5,'等级经验对照表'!$B$2:$B$102,'等级经验对照表'!$A$2:$A$102)</x:f>
        <x:v>65</x:v>
      </x:c>
      <x:c r="G5" s="40" t="n">
        <x:v>637</x:v>
      </x:c>
    </x:row>
    <x:row r="6">
      <x:c r="A6" s="32" t="str">
        <x:v>D180</x:v>
      </x:c>
      <x:c r="B6" s="42" t="n">
        <x:v>0.2</x:v>
      </x:c>
      <x:c r="C6" s="40" t="n">
        <x:v>5400</x:v>
      </x:c>
      <x:c r="D6" s="40" t="n">
        <x:f>LOOKUP(C6,'等级经验对照表'!$B$2:$B$102,'等级经验对照表'!$A$2:$A$102)</x:f>
        <x:v>65</x:v>
      </x:c>
      <x:c r="E6" s="40" t="n">
        <x:v>10800</x:v>
      </x:c>
      <x:c r="F6" s="40" t="n">
        <x:f>LOOKUP(E6,'等级经验对照表'!$B$2:$B$102,'等级经验对照表'!$A$2:$A$102)</x:f>
        <x:v>99</x:v>
      </x:c>
      <x:c r="G6" s="40" t="n">
        <x:v>1177</x:v>
      </x:c>
    </x:row>
    <x:row r="7">
      <x:c r="A7" s="32" t="str">
        <x:v>D365</x:v>
      </x:c>
      <x:c r="B7" s="42" t="n">
        <x:v>0.2</x:v>
      </x:c>
      <x:c r="C7" s="40" t="n">
        <x:v>10950</x:v>
      </x:c>
      <x:c r="D7" s="40" t="n">
        <x:f>LOOKUP(C7,'等级经验对照表'!$B$2:$B$102,'等级经验对照表'!$A$2:$A$102)</x:f>
        <x:v>100</x:v>
      </x:c>
      <x:c r="E7" s="40" t="n">
        <x:v>21900</x:v>
      </x:c>
      <x:c r="F7" s="40" t="n">
        <x:f>LOOKUP(E7,'等级经验对照表'!$B$2:$B$102,'等级经验对照表'!$A$2:$A$102)</x:f>
        <x:v>100</x:v>
      </x:c>
      <x:c r="G7" s="40" t="n">
        <x:v>2287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38" t="str">
        <x:v>等级成长曲线：基础 XP 曲线与阶段判断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</x:row>
    <x:row r="3" ht="24" customHeight="1">
      <x:c r="A3" s="31" t="str">
        <x:v>等级</x:v>
      </x:c>
      <x:c r="B3" s="31" t="str">
        <x:v>累计 XP</x:v>
      </x:c>
      <x:c r="C3" s="31" t="str">
        <x:v>升级所需 XP</x:v>
      </x:c>
      <x:c r="D3" s="31" t="str">
        <x:v>普通用户约天数</x:v>
      </x:c>
      <x:c r="E3" s="31" t="str">
        <x:v>深度用户约天数</x:v>
      </x:c>
      <x:c r="F3" s="31" t="str">
        <x:v>每级普通用户所需天数</x:v>
      </x:c>
      <x:c r="G3" s="31" t="str">
        <x:v>升级 XP 变化</x:v>
      </x:c>
      <x:c r="H3" s="31" t="str">
        <x:v>升级 XP 变化率</x:v>
      </x:c>
      <x:c r="I3" s="31" t="str">
        <x:v>阶段</x:v>
      </x:c>
      <x:c r="J3" s="31" t="str">
        <x:v>曲线评价</x:v>
      </x:c>
      <x:c r="K3" s="60"/>
      <x:c r="L3" s="2" t="str">
        <x:v>曲线读法</x:v>
      </x:c>
      <x:c r="M3" s="60"/>
      <x:c r="N3" s="60"/>
      <x:c r="O3" s="60"/>
      <x:c r="P3" s="60"/>
      <x:c r="Q3" s="60"/>
      <x:c r="R3" s="60"/>
      <x:c r="S3" s="60"/>
    </x:row>
    <x:row r="4">
      <x:c r="A4" s="32" t="n">
        <x:v>0</x:v>
      </x:c>
      <x:c r="B4" s="40" t="n">
        <x:v>0</x:v>
      </x:c>
      <x:c r="C4" s="40" t="n">
        <x:f>'等级经验对照表'!C2</x:f>
        <x:v>10</x:v>
      </x:c>
      <x:c r="D4" s="41" t="n">
        <x:f>'等级经验对照表'!E2</x:f>
        <x:v>0</x:v>
      </x:c>
      <x:c r="E4" s="41" t="n">
        <x:f>'等级经验对照表'!F2</x:f>
        <x:v>0</x:v>
      </x:c>
      <x:c r="F4" s="41" t="n">
        <x:f>C4/'参数说明'!$B$7</x:f>
        <x:v>0.3333333333333333</x:v>
      </x:c>
      <x:c r="G4" s="40"/>
      <x:c r="H4" s="42"/>
      <x:c r="I4" s="32" t="str">
        <x:v>新手反馈期</x:v>
      </x:c>
      <x:c r="J4" s="32" t="str">
        <x:f>"初始"</x:f>
        <x:v>初始</x:v>
      </x:c>
      <x:c r="K4" s="60"/>
      <x:c r="L4" s="65" t="str">
        <x:v>图表说明</x:v>
      </x:c>
      <x:c r="M4" s="65" t="str">
        <x:v>当前版本保留公式化曲线数据源，便于后续在 Excel 中插入折线图。</x:v>
      </x:c>
      <x:c r="N4" s="65" t="str"/>
      <x:c r="O4" s="65" t="str"/>
      <x:c r="P4" s="65" t="str"/>
      <x:c r="Q4" s="65" t="str"/>
      <x:c r="R4" s="65" t="str"/>
      <x:c r="S4" s="65" t="str"/>
    </x:row>
    <x:row r="5">
      <x:c r="A5" s="32" t="n">
        <x:v>1</x:v>
      </x:c>
      <x:c r="B5" s="40" t="n">
        <x:v>10</x:v>
      </x:c>
      <x:c r="C5" s="40" t="n">
        <x:f>'等级经验对照表'!C3</x:f>
        <x:v>10</x:v>
      </x:c>
      <x:c r="D5" s="41" t="n">
        <x:f>'等级经验对照表'!E3</x:f>
        <x:v>0.3333333333333333</x:v>
      </x:c>
      <x:c r="E5" s="41" t="n">
        <x:f>'等级经验对照表'!F3</x:f>
        <x:v>0.16666666666666666</x:v>
      </x:c>
      <x:c r="F5" s="41" t="n">
        <x:f>C5/'参数说明'!$B$7</x:f>
        <x:v>0.3333333333333333</x:v>
      </x:c>
      <x:c r="G5" s="40" t="n">
        <x:f>C5-C4</x:f>
        <x:v>0</x:v>
      </x:c>
      <x:c r="H5" s="42" t="n">
        <x:f>IF(C4=0,"",C5/C4-1)</x:f>
        <x:v>0</x:v>
      </x:c>
      <x:c r="I5" s="32" t="str">
        <x:v>新手反馈期</x:v>
      </x:c>
      <x:c r="J5" s="32" t="str">
        <x:f>IF(G5&lt;0,"XP 回落",IF(H5&gt;0.5,"跳变较大","平稳"))</x:f>
        <x:v>平稳</x:v>
      </x:c>
      <x:c r="K5" s="60"/>
      <x:c r="L5" s="65" t="str">
        <x:v>累计 XP 曲线</x:v>
      </x:c>
      <x:c r="M5" s="65" t="str">
        <x:v>使用 A3:B104，观察长期等级成长速度。</x:v>
      </x:c>
      <x:c r="N5" s="65" t="str"/>
      <x:c r="O5" s="65" t="str"/>
      <x:c r="P5" s="65" t="str"/>
      <x:c r="Q5" s="65" t="str"/>
      <x:c r="R5" s="65" t="str"/>
      <x:c r="S5" s="65" t="str"/>
    </x:row>
    <x:row r="6">
      <x:c r="A6" s="32" t="n">
        <x:v>2</x:v>
      </x:c>
      <x:c r="B6" s="40" t="n">
        <x:v>20</x:v>
      </x:c>
      <x:c r="C6" s="40" t="n">
        <x:f>'等级经验对照表'!C4</x:f>
        <x:v>10</x:v>
      </x:c>
      <x:c r="D6" s="41" t="n">
        <x:f>'等级经验对照表'!E4</x:f>
        <x:v>0.6666666666666666</x:v>
      </x:c>
      <x:c r="E6" s="41" t="n">
        <x:f>'等级经验对照表'!F4</x:f>
        <x:v>0.3333333333333333</x:v>
      </x:c>
      <x:c r="F6" s="41" t="n">
        <x:f>C6/'参数说明'!$B$7</x:f>
        <x:v>0.3333333333333333</x:v>
      </x:c>
      <x:c r="G6" s="40" t="n">
        <x:f>C6-C5</x:f>
        <x:v>0</x:v>
      </x:c>
      <x:c r="H6" s="42" t="n">
        <x:f>IF(C5=0,"",C6/C5-1)</x:f>
        <x:v>0</x:v>
      </x:c>
      <x:c r="I6" s="32" t="str">
        <x:v>新手反馈期</x:v>
      </x:c>
      <x:c r="J6" s="32" t="str">
        <x:f>IF(G6&lt;0,"XP 回落",IF(H6&gt;0.5,"跳变较大","平稳"))</x:f>
        <x:v>平稳</x:v>
      </x:c>
      <x:c r="K6" s="60"/>
      <x:c r="L6" s="65" t="str">
        <x:v>升级所需 XP 曲线</x:v>
      </x:c>
      <x:c r="M6" s="65" t="str">
        <x:v>使用 A3:C104，观察每级门槛是否平滑。</x:v>
      </x:c>
      <x:c r="N6" s="65" t="str"/>
      <x:c r="O6" s="65" t="str"/>
      <x:c r="P6" s="65" t="str"/>
      <x:c r="Q6" s="65" t="str"/>
      <x:c r="R6" s="65" t="str"/>
      <x:c r="S6" s="65" t="str"/>
    </x:row>
    <x:row r="7">
      <x:c r="A7" s="32" t="n">
        <x:v>3</x:v>
      </x:c>
      <x:c r="B7" s="40" t="n">
        <x:v>30</x:v>
      </x:c>
      <x:c r="C7" s="40" t="n">
        <x:f>'等级经验对照表'!C5</x:f>
        <x:v>25</x:v>
      </x:c>
      <x:c r="D7" s="41" t="n">
        <x:f>'等级经验对照表'!E5</x:f>
        <x:v>1</x:v>
      </x:c>
      <x:c r="E7" s="41" t="n">
        <x:f>'等级经验对照表'!F5</x:f>
        <x:v>0.5</x:v>
      </x:c>
      <x:c r="F7" s="41" t="n">
        <x:f>C7/'参数说明'!$B$7</x:f>
        <x:v>0.8333333333333334</x:v>
      </x:c>
      <x:c r="G7" s="40" t="n">
        <x:f>C7-C6</x:f>
        <x:v>15</x:v>
      </x:c>
      <x:c r="H7" s="42" t="n">
        <x:f>IF(C6=0,"",C7/C6-1)</x:f>
        <x:v>1.5</x:v>
      </x:c>
      <x:c r="I7" s="32" t="str">
        <x:v>新手反馈期</x:v>
      </x:c>
      <x:c r="J7" s="32" t="str">
        <x:f>IF(G7&lt;0,"XP 回落",IF(H7&gt;0.5,"跳变较大","平稳"))</x:f>
        <x:v>跳变较大</x:v>
      </x:c>
      <x:c r="K7" s="60"/>
      <x:c r="L7" s="65" t="str">
        <x:v>普通用户天数曲线</x:v>
      </x:c>
      <x:c r="M7" s="65" t="str">
        <x:v>使用 A3:D104，观察 D1/D7/D30/D90/D180/D365 节点。</x:v>
      </x:c>
      <x:c r="N7" s="65" t="str"/>
      <x:c r="O7" s="65" t="str"/>
      <x:c r="P7" s="65" t="str"/>
      <x:c r="Q7" s="65" t="str"/>
      <x:c r="R7" s="65" t="str"/>
      <x:c r="S7" s="65" t="str"/>
    </x:row>
    <x:row r="8">
      <x:c r="A8" s="32" t="n">
        <x:v>4</x:v>
      </x:c>
      <x:c r="B8" s="40" t="n">
        <x:v>55</x:v>
      </x:c>
      <x:c r="C8" s="40" t="n">
        <x:f>'等级经验对照表'!C6</x:f>
        <x:v>25</x:v>
      </x:c>
      <x:c r="D8" s="41" t="n">
        <x:f>'等级经验对照表'!E6</x:f>
        <x:v>1.8333333333333333</x:v>
      </x:c>
      <x:c r="E8" s="41" t="n">
        <x:f>'等级经验对照表'!F6</x:f>
        <x:v>0.9166666666666666</x:v>
      </x:c>
      <x:c r="F8" s="41" t="n">
        <x:f>C8/'参数说明'!$B$7</x:f>
        <x:v>0.8333333333333334</x:v>
      </x:c>
      <x:c r="G8" s="40" t="n">
        <x:f>C8-C7</x:f>
        <x:v>0</x:v>
      </x:c>
      <x:c r="H8" s="42" t="n">
        <x:f>IF(C7=0,"",C8/C7-1)</x:f>
        <x:v>0</x:v>
      </x:c>
      <x:c r="I8" s="32" t="str">
        <x:v>新手反馈期</x:v>
      </x:c>
      <x:c r="J8" s="32" t="str">
        <x:f>IF(G8&lt;0,"XP 回落",IF(H8&gt;0.5,"跳变较大","平稳"))</x:f>
        <x:v>平稳</x:v>
      </x:c>
      <x:c r="K8" s="60"/>
      <x:c r="L8" s="65" t="str">
        <x:v>当前判断</x:v>
      </x:c>
      <x:c r="M8" s="65" t="str">
        <x:v>原表是锚点驱动的分段阶梯曲线，MVP 可用；正式上线前可进一步平滑。</x:v>
      </x:c>
      <x:c r="N8" s="65" t="str"/>
      <x:c r="O8" s="65" t="str"/>
      <x:c r="P8" s="65" t="str"/>
      <x:c r="Q8" s="65" t="str"/>
      <x:c r="R8" s="65" t="str"/>
      <x:c r="S8" s="65" t="str"/>
    </x:row>
    <x:row r="9">
      <x:c r="A9" s="32" t="n">
        <x:v>5</x:v>
      </x:c>
      <x:c r="B9" s="40" t="n">
        <x:v>80</x:v>
      </x:c>
      <x:c r="C9" s="40" t="n">
        <x:f>'等级经验对照表'!C7</x:f>
        <x:v>25</x:v>
      </x:c>
      <x:c r="D9" s="41" t="n">
        <x:f>'等级经验对照表'!E7</x:f>
        <x:v>2.6666666666666665</x:v>
      </x:c>
      <x:c r="E9" s="41" t="n">
        <x:f>'等级经验对照表'!F7</x:f>
        <x:v>1.3333333333333333</x:v>
      </x:c>
      <x:c r="F9" s="41" t="n">
        <x:f>C9/'参数说明'!$B$7</x:f>
        <x:v>0.8333333333333334</x:v>
      </x:c>
      <x:c r="G9" s="40" t="n">
        <x:f>C9-C8</x:f>
        <x:v>0</x:v>
      </x:c>
      <x:c r="H9" s="42" t="n">
        <x:f>IF(C8=0,"",C9/C8-1)</x:f>
        <x:v>0</x:v>
      </x:c>
      <x:c r="I9" s="32" t="str">
        <x:v>新手反馈期</x:v>
      </x:c>
      <x:c r="J9" s="32" t="str">
        <x:f>IF(G9&lt;0,"XP 回落",IF(H9&gt;0.5,"跳变较大","平稳"))</x:f>
        <x:v>平稳</x:v>
      </x:c>
      <x:c r="K9" s="60"/>
      <x:c r="L9" s="65" t="str">
        <x:v>注意</x:v>
      </x:c>
      <x:c r="M9" s="65" t="str">
        <x:v>Lv100 是上限，因此主表 Lv100 的升级所需 XP 留空。</x:v>
      </x:c>
      <x:c r="N9" s="65" t="str"/>
      <x:c r="O9" s="65" t="str"/>
      <x:c r="P9" s="65" t="str"/>
      <x:c r="Q9" s="65" t="str"/>
      <x:c r="R9" s="65" t="str"/>
      <x:c r="S9" s="65" t="str"/>
    </x:row>
    <x:row r="10">
      <x:c r="A10" s="32" t="n">
        <x:v>6</x:v>
      </x:c>
      <x:c r="B10" s="40" t="n">
        <x:v>105</x:v>
      </x:c>
      <x:c r="C10" s="40" t="n">
        <x:f>'等级经验对照表'!C8</x:f>
        <x:v>30</x:v>
      </x:c>
      <x:c r="D10" s="41" t="n">
        <x:f>'等级经验对照表'!E8</x:f>
        <x:v>3.5</x:v>
      </x:c>
      <x:c r="E10" s="41" t="n">
        <x:f>'等级经验对照表'!F8</x:f>
        <x:v>1.75</x:v>
      </x:c>
      <x:c r="F10" s="41" t="n">
        <x:f>C10/'参数说明'!$B$7</x:f>
        <x:v>1</x:v>
      </x:c>
      <x:c r="G10" s="40" t="n">
        <x:f>C10-C9</x:f>
        <x:v>5</x:v>
      </x:c>
      <x:c r="H10" s="42" t="n">
        <x:f>IF(C9=0,"",C10/C9-1)</x:f>
        <x:v>0.19999999999999996</x:v>
      </x:c>
      <x:c r="I10" s="32" t="str">
        <x:v>新手反馈期</x:v>
      </x:c>
      <x:c r="J10" s="32" t="str">
        <x:f>IF(G10&lt;0,"XP 回落",IF(H10&gt;0.5,"跳变较大","平稳"))</x:f>
        <x:v>平稳</x:v>
      </x:c>
      <x:c r="K10" s="60"/>
      <x:c r="L10" s="65" t="str">
        <x:v>后续</x:v>
      </x:c>
      <x:c r="M10" s="65" t="str">
        <x:v>若任务/倍卡导致 XP 膨胀超过 25%，优先调中后段门槛。</x:v>
      </x:c>
      <x:c r="N10" s="65" t="str"/>
      <x:c r="O10" s="65" t="str"/>
      <x:c r="P10" s="65" t="str"/>
      <x:c r="Q10" s="65" t="str"/>
      <x:c r="R10" s="65" t="str"/>
      <x:c r="S10" s="65" t="str"/>
    </x:row>
    <x:row r="11">
      <x:c r="A11" s="32" t="n">
        <x:v>7</x:v>
      </x:c>
      <x:c r="B11" s="40" t="n">
        <x:v>135</x:v>
      </x:c>
      <x:c r="C11" s="40" t="n">
        <x:f>'等级经验对照表'!C9</x:f>
        <x:v>25</x:v>
      </x:c>
      <x:c r="D11" s="41" t="n">
        <x:f>'等级经验对照表'!E9</x:f>
        <x:v>4.5</x:v>
      </x:c>
      <x:c r="E11" s="41" t="n">
        <x:f>'等级经验对照表'!F9</x:f>
        <x:v>2.25</x:v>
      </x:c>
      <x:c r="F11" s="41" t="n">
        <x:f>C11/'参数说明'!$B$7</x:f>
        <x:v>0.8333333333333334</x:v>
      </x:c>
      <x:c r="G11" s="40" t="n">
        <x:f>C11-C10</x:f>
        <x:v>-5</x:v>
      </x:c>
      <x:c r="H11" s="42" t="n">
        <x:f>IF(C10=0,"",C11/C10-1)</x:f>
        <x:v>-0.16666666666666663</x:v>
      </x:c>
      <x:c r="I11" s="32" t="str">
        <x:v>新手反馈期</x:v>
      </x:c>
      <x:c r="J11" s="32" t="str">
        <x:f>IF(G11&lt;0,"XP 回落",IF(H11&gt;0.5,"跳变较大","平稳"))</x:f>
        <x:v>XP 回落</x:v>
      </x:c>
      <x:c r="K11" s="60"/>
      <x:c r="L11" s="60"/>
      <x:c r="M11" s="60"/>
      <x:c r="N11" s="60"/>
      <x:c r="O11" s="60"/>
      <x:c r="P11" s="60"/>
      <x:c r="Q11" s="60"/>
      <x:c r="R11" s="60"/>
      <x:c r="S11" s="60"/>
    </x:row>
    <x:row r="12">
      <x:c r="A12" s="32" t="n">
        <x:v>8</x:v>
      </x:c>
      <x:c r="B12" s="40" t="n">
        <x:v>160</x:v>
      </x:c>
      <x:c r="C12" s="40" t="n">
        <x:f>'等级经验对照表'!C10</x:f>
        <x:v>25</x:v>
      </x:c>
      <x:c r="D12" s="41" t="n">
        <x:f>'等级经验对照表'!E10</x:f>
        <x:v>5.333333333333333</x:v>
      </x:c>
      <x:c r="E12" s="41" t="n">
        <x:f>'等级经验对照表'!F10</x:f>
        <x:v>2.6666666666666665</x:v>
      </x:c>
      <x:c r="F12" s="41" t="n">
        <x:f>C12/'参数说明'!$B$7</x:f>
        <x:v>0.8333333333333334</x:v>
      </x:c>
      <x:c r="G12" s="40" t="n">
        <x:f>C12-C11</x:f>
        <x:v>0</x:v>
      </x:c>
      <x:c r="H12" s="42" t="n">
        <x:f>IF(C11=0,"",C12/C11-1)</x:f>
        <x:v>0</x:v>
      </x:c>
      <x:c r="I12" s="32" t="str">
        <x:v>新手反馈期</x:v>
      </x:c>
      <x:c r="J12" s="32" t="str">
        <x:f>IF(G12&lt;0,"XP 回落",IF(H12&gt;0.5,"跳变较大","平稳"))</x:f>
        <x:v>平稳</x:v>
      </x:c>
      <x:c r="K12" s="60"/>
      <x:c r="L12" s="60"/>
      <x:c r="M12" s="60"/>
      <x:c r="N12" s="60"/>
      <x:c r="O12" s="60"/>
      <x:c r="P12" s="60"/>
      <x:c r="Q12" s="60"/>
      <x:c r="R12" s="60"/>
      <x:c r="S12" s="60"/>
    </x:row>
    <x:row r="13">
      <x:c r="A13" s="32" t="n">
        <x:v>9</x:v>
      </x:c>
      <x:c r="B13" s="40" t="n">
        <x:v>185</x:v>
      </x:c>
      <x:c r="C13" s="40" t="n">
        <x:f>'等级经验对照表'!C11</x:f>
        <x:v>25</x:v>
      </x:c>
      <x:c r="D13" s="41" t="n">
        <x:f>'等级经验对照表'!E11</x:f>
        <x:v>6.166666666666667</x:v>
      </x:c>
      <x:c r="E13" s="41" t="n">
        <x:f>'等级经验对照表'!F11</x:f>
        <x:v>3.0833333333333335</x:v>
      </x:c>
      <x:c r="F13" s="41" t="n">
        <x:f>C13/'参数说明'!$B$7</x:f>
        <x:v>0.8333333333333334</x:v>
      </x:c>
      <x:c r="G13" s="40" t="n">
        <x:f>C13-C12</x:f>
        <x:v>0</x:v>
      </x:c>
      <x:c r="H13" s="42" t="n">
        <x:f>IF(C12=0,"",C13/C12-1)</x:f>
        <x:v>0</x:v>
      </x:c>
      <x:c r="I13" s="32" t="str">
        <x:v>新手反馈期</x:v>
      </x:c>
      <x:c r="J13" s="32" t="str">
        <x:f>IF(G13&lt;0,"XP 回落",IF(H13&gt;0.5,"跳变较大","平稳"))</x:f>
        <x:v>平稳</x:v>
      </x:c>
      <x:c r="K13" s="60"/>
      <x:c r="L13" s="60"/>
      <x:c r="M13" s="60"/>
      <x:c r="N13" s="60"/>
      <x:c r="O13" s="60"/>
      <x:c r="P13" s="60"/>
      <x:c r="Q13" s="60"/>
      <x:c r="R13" s="60"/>
      <x:c r="S13" s="60"/>
    </x:row>
    <x:row r="14">
      <x:c r="A14" s="32" t="n">
        <x:v>10</x:v>
      </x:c>
      <x:c r="B14" s="40" t="n">
        <x:v>210</x:v>
      </x:c>
      <x:c r="C14" s="40" t="n">
        <x:f>'等级经验对照表'!C12</x:f>
        <x:v>45</x:v>
      </x:c>
      <x:c r="D14" s="41" t="n">
        <x:f>'等级经验对照表'!E12</x:f>
        <x:v>7</x:v>
      </x:c>
      <x:c r="E14" s="41" t="n">
        <x:f>'等级经验对照表'!F12</x:f>
        <x:v>3.5</x:v>
      </x:c>
      <x:c r="F14" s="41" t="n">
        <x:f>C14/'参数说明'!$B$7</x:f>
        <x:v>1.5</x:v>
      </x:c>
      <x:c r="G14" s="40" t="n">
        <x:f>C14-C13</x:f>
        <x:v>20</x:v>
      </x:c>
      <x:c r="H14" s="42" t="n">
        <x:f>IF(C13=0,"",C14/C13-1)</x:f>
        <x:v>0.8</x:v>
      </x:c>
      <x:c r="I14" s="32" t="str">
        <x:v>新手反馈期</x:v>
      </x:c>
      <x:c r="J14" s="32" t="str">
        <x:f>IF(G14&lt;0,"XP 回落",IF(H14&gt;0.5,"跳变较大","平稳"))</x:f>
        <x:v>跳变较大</x:v>
      </x:c>
      <x:c r="K14" s="60"/>
      <x:c r="L14" s="60"/>
      <x:c r="M14" s="60"/>
      <x:c r="N14" s="60"/>
      <x:c r="O14" s="60"/>
      <x:c r="P14" s="60"/>
      <x:c r="Q14" s="60"/>
      <x:c r="R14" s="60"/>
      <x:c r="S14" s="60"/>
    </x:row>
    <x:row r="15">
      <x:c r="A15" s="32" t="n">
        <x:v>11</x:v>
      </x:c>
      <x:c r="B15" s="40" t="n">
        <x:v>255</x:v>
      </x:c>
      <x:c r="C15" s="40" t="n">
        <x:f>'等级经验对照表'!C13</x:f>
        <x:v>45</x:v>
      </x:c>
      <x:c r="D15" s="41" t="n">
        <x:f>'等级经验对照表'!E13</x:f>
        <x:v>8.5</x:v>
      </x:c>
      <x:c r="E15" s="41" t="n">
        <x:f>'等级经验对照表'!F13</x:f>
        <x:v>4.25</x:v>
      </x:c>
      <x:c r="F15" s="41" t="n">
        <x:f>C15/'参数说明'!$B$7</x:f>
        <x:v>1.5</x:v>
      </x:c>
      <x:c r="G15" s="40" t="n">
        <x:f>C15-C14</x:f>
        <x:v>0</x:v>
      </x:c>
      <x:c r="H15" s="42" t="n">
        <x:f>IF(C14=0,"",C15/C14-1)</x:f>
        <x:v>0</x:v>
      </x:c>
      <x:c r="I15" s="32" t="str">
        <x:v>习惯建立期</x:v>
      </x:c>
      <x:c r="J15" s="32" t="str">
        <x:f>IF(G15&lt;0,"XP 回落",IF(H15&gt;0.5,"跳变较大","平稳"))</x:f>
        <x:v>平稳</x:v>
      </x:c>
      <x:c r="K15" s="60"/>
      <x:c r="L15" s="60"/>
      <x:c r="M15" s="60"/>
      <x:c r="N15" s="60"/>
      <x:c r="O15" s="60"/>
      <x:c r="P15" s="60"/>
      <x:c r="Q15" s="60"/>
      <x:c r="R15" s="60"/>
      <x:c r="S15" s="60"/>
    </x:row>
    <x:row r="16">
      <x:c r="A16" s="32" t="n">
        <x:v>12</x:v>
      </x:c>
      <x:c r="B16" s="40" t="n">
        <x:v>300</x:v>
      </x:c>
      <x:c r="C16" s="40" t="n">
        <x:f>'等级经验对照表'!C14</x:f>
        <x:v>50</x:v>
      </x:c>
      <x:c r="D16" s="41" t="n">
        <x:f>'等级经验对照表'!E14</x:f>
        <x:v>10</x:v>
      </x:c>
      <x:c r="E16" s="41" t="n">
        <x:f>'等级经验对照表'!F14</x:f>
        <x:v>5</x:v>
      </x:c>
      <x:c r="F16" s="41" t="n">
        <x:f>C16/'参数说明'!$B$7</x:f>
        <x:v>1.6666666666666667</x:v>
      </x:c>
      <x:c r="G16" s="40" t="n">
        <x:f>C16-C15</x:f>
        <x:v>5</x:v>
      </x:c>
      <x:c r="H16" s="42" t="n">
        <x:f>IF(C15=0,"",C16/C15-1)</x:f>
        <x:v>0.11111111111111116</x:v>
      </x:c>
      <x:c r="I16" s="32" t="str">
        <x:v>习惯建立期</x:v>
      </x:c>
      <x:c r="J16" s="32" t="str">
        <x:f>IF(G16&lt;0,"XP 回落",IF(H16&gt;0.5,"跳变较大","平稳"))</x:f>
        <x:v>平稳</x:v>
      </x:c>
      <x:c r="K16" s="60"/>
      <x:c r="L16" s="60"/>
      <x:c r="M16" s="60"/>
      <x:c r="N16" s="60"/>
      <x:c r="O16" s="60"/>
      <x:c r="P16" s="60"/>
      <x:c r="Q16" s="60"/>
      <x:c r="R16" s="60"/>
      <x:c r="S16" s="60"/>
    </x:row>
    <x:row r="17">
      <x:c r="A17" s="32" t="n">
        <x:v>13</x:v>
      </x:c>
      <x:c r="B17" s="40" t="n">
        <x:v>350</x:v>
      </x:c>
      <x:c r="C17" s="40" t="n">
        <x:f>'等级经验对照表'!C15</x:f>
        <x:v>45</x:v>
      </x:c>
      <x:c r="D17" s="41" t="n">
        <x:f>'等级经验对照表'!E15</x:f>
        <x:v>11.666666666666666</x:v>
      </x:c>
      <x:c r="E17" s="41" t="n">
        <x:f>'等级经验对照表'!F15</x:f>
        <x:v>5.833333333333333</x:v>
      </x:c>
      <x:c r="F17" s="41" t="n">
        <x:f>C17/'参数说明'!$B$7</x:f>
        <x:v>1.5</x:v>
      </x:c>
      <x:c r="G17" s="40" t="n">
        <x:f>C17-C16</x:f>
        <x:v>-5</x:v>
      </x:c>
      <x:c r="H17" s="42" t="n">
        <x:f>IF(C16=0,"",C17/C16-1)</x:f>
        <x:v>-0.09999999999999998</x:v>
      </x:c>
      <x:c r="I17" s="32" t="str">
        <x:v>习惯建立期</x:v>
      </x:c>
      <x:c r="J17" s="32" t="str">
        <x:f>IF(G17&lt;0,"XP 回落",IF(H17&gt;0.5,"跳变较大","平稳"))</x:f>
        <x:v>XP 回落</x:v>
      </x:c>
      <x:c r="K17" s="60"/>
      <x:c r="L17" s="60"/>
      <x:c r="M17" s="60"/>
      <x:c r="N17" s="60"/>
      <x:c r="O17" s="60"/>
      <x:c r="P17" s="60"/>
      <x:c r="Q17" s="60"/>
      <x:c r="R17" s="60"/>
      <x:c r="S17" s="60"/>
    </x:row>
    <x:row r="18">
      <x:c r="A18" s="32" t="n">
        <x:v>14</x:v>
      </x:c>
      <x:c r="B18" s="40" t="n">
        <x:v>395</x:v>
      </x:c>
      <x:c r="C18" s="40" t="n">
        <x:f>'等级经验对照表'!C16</x:f>
        <x:v>45</x:v>
      </x:c>
      <x:c r="D18" s="41" t="n">
        <x:f>'等级经验对照表'!E16</x:f>
        <x:v>13.166666666666666</x:v>
      </x:c>
      <x:c r="E18" s="41" t="n">
        <x:f>'等级经验对照表'!F16</x:f>
        <x:v>6.583333333333333</x:v>
      </x:c>
      <x:c r="F18" s="41" t="n">
        <x:f>C18/'参数说明'!$B$7</x:f>
        <x:v>1.5</x:v>
      </x:c>
      <x:c r="G18" s="40" t="n">
        <x:f>C18-C17</x:f>
        <x:v>0</x:v>
      </x:c>
      <x:c r="H18" s="42" t="n">
        <x:f>IF(C17=0,"",C18/C17-1)</x:f>
        <x:v>0</x:v>
      </x:c>
      <x:c r="I18" s="32" t="str">
        <x:v>习惯建立期</x:v>
      </x:c>
      <x:c r="J18" s="32" t="str">
        <x:f>IF(G18&lt;0,"XP 回落",IF(H18&gt;0.5,"跳变较大","平稳"))</x:f>
        <x:v>平稳</x:v>
      </x:c>
      <x:c r="K18" s="60"/>
      <x:c r="L18" s="60"/>
      <x:c r="M18" s="60"/>
      <x:c r="N18" s="60"/>
      <x:c r="O18" s="60"/>
      <x:c r="P18" s="60"/>
      <x:c r="Q18" s="60"/>
      <x:c r="R18" s="60"/>
      <x:c r="S18" s="60"/>
    </x:row>
    <x:row r="19">
      <x:c r="A19" s="32" t="n">
        <x:v>15</x:v>
      </x:c>
      <x:c r="B19" s="40" t="n">
        <x:v>440</x:v>
      </x:c>
      <x:c r="C19" s="40" t="n">
        <x:f>'等级经验对照表'!C17</x:f>
        <x:v>45</x:v>
      </x:c>
      <x:c r="D19" s="41" t="n">
        <x:f>'等级经验对照表'!E17</x:f>
        <x:v>14.666666666666666</x:v>
      </x:c>
      <x:c r="E19" s="41" t="n">
        <x:f>'等级经验对照表'!F17</x:f>
        <x:v>7.333333333333333</x:v>
      </x:c>
      <x:c r="F19" s="41" t="n">
        <x:f>C19/'参数说明'!$B$7</x:f>
        <x:v>1.5</x:v>
      </x:c>
      <x:c r="G19" s="40" t="n">
        <x:f>C19-C18</x:f>
        <x:v>0</x:v>
      </x:c>
      <x:c r="H19" s="42" t="n">
        <x:f>IF(C18=0,"",C19/C18-1)</x:f>
        <x:v>0</x:v>
      </x:c>
      <x:c r="I19" s="32" t="str">
        <x:v>习惯建立期</x:v>
      </x:c>
      <x:c r="J19" s="32" t="str">
        <x:f>IF(G19&lt;0,"XP 回落",IF(H19&gt;0.5,"跳变较大","平稳"))</x:f>
        <x:v>平稳</x:v>
      </x:c>
      <x:c r="K19" s="60"/>
      <x:c r="L19" s="60"/>
      <x:c r="M19" s="60"/>
      <x:c r="N19" s="60"/>
      <x:c r="O19" s="60"/>
      <x:c r="P19" s="60"/>
      <x:c r="Q19" s="60"/>
      <x:c r="R19" s="60"/>
      <x:c r="S19" s="60"/>
    </x:row>
    <x:row r="20">
      <x:c r="A20" s="32" t="n">
        <x:v>16</x:v>
      </x:c>
      <x:c r="B20" s="40" t="n">
        <x:v>485</x:v>
      </x:c>
      <x:c r="C20" s="40" t="n">
        <x:f>'等级经验对照表'!C18</x:f>
        <x:v>45</x:v>
      </x:c>
      <x:c r="D20" s="41" t="n">
        <x:f>'等级经验对照表'!E18</x:f>
        <x:v>16.166666666666668</x:v>
      </x:c>
      <x:c r="E20" s="41" t="n">
        <x:f>'等级经验对照表'!F18</x:f>
        <x:v>8.083333333333334</x:v>
      </x:c>
      <x:c r="F20" s="41" t="n">
        <x:f>C20/'参数说明'!$B$7</x:f>
        <x:v>1.5</x:v>
      </x:c>
      <x:c r="G20" s="40" t="n">
        <x:f>C20-C19</x:f>
        <x:v>0</x:v>
      </x:c>
      <x:c r="H20" s="42" t="n">
        <x:f>IF(C19=0,"",C20/C19-1)</x:f>
        <x:v>0</x:v>
      </x:c>
      <x:c r="I20" s="32" t="str">
        <x:v>习惯建立期</x:v>
      </x:c>
      <x:c r="J20" s="32" t="str">
        <x:f>IF(G20&lt;0,"XP 回落",IF(H20&gt;0.5,"跳变较大","平稳"))</x:f>
        <x:v>平稳</x:v>
      </x:c>
      <x:c r="K20" s="60"/>
      <x:c r="L20" s="60"/>
      <x:c r="M20" s="60"/>
      <x:c r="N20" s="60"/>
      <x:c r="O20" s="60"/>
      <x:c r="P20" s="60"/>
      <x:c r="Q20" s="60"/>
      <x:c r="R20" s="60"/>
      <x:c r="S20" s="60"/>
    </x:row>
    <x:row r="21">
      <x:c r="A21" s="32" t="n">
        <x:v>17</x:v>
      </x:c>
      <x:c r="B21" s="40" t="n">
        <x:v>530</x:v>
      </x:c>
      <x:c r="C21" s="40" t="n">
        <x:f>'等级经验对照表'!C19</x:f>
        <x:v>50</x:v>
      </x:c>
      <x:c r="D21" s="41" t="n">
        <x:f>'等级经验对照表'!E19</x:f>
        <x:v>17.666666666666668</x:v>
      </x:c>
      <x:c r="E21" s="41" t="n">
        <x:f>'等级经验对照表'!F19</x:f>
        <x:v>8.833333333333334</x:v>
      </x:c>
      <x:c r="F21" s="41" t="n">
        <x:f>C21/'参数说明'!$B$7</x:f>
        <x:v>1.6666666666666667</x:v>
      </x:c>
      <x:c r="G21" s="40" t="n">
        <x:f>C21-C20</x:f>
        <x:v>5</x:v>
      </x:c>
      <x:c r="H21" s="42" t="n">
        <x:f>IF(C20=0,"",C21/C20-1)</x:f>
        <x:v>0.11111111111111116</x:v>
      </x:c>
      <x:c r="I21" s="32" t="str">
        <x:v>习惯建立期</x:v>
      </x:c>
      <x:c r="J21" s="32" t="str">
        <x:f>IF(G21&lt;0,"XP 回落",IF(H21&gt;0.5,"跳变较大","平稳"))</x:f>
        <x:v>平稳</x:v>
      </x:c>
      <x:c r="K21" s="60"/>
      <x:c r="L21" s="60"/>
      <x:c r="M21" s="60"/>
      <x:c r="N21" s="60"/>
      <x:c r="O21" s="60"/>
      <x:c r="P21" s="60"/>
      <x:c r="Q21" s="60"/>
      <x:c r="R21" s="60"/>
      <x:c r="S21" s="60"/>
    </x:row>
    <x:row r="22">
      <x:c r="A22" s="32" t="n">
        <x:v>18</x:v>
      </x:c>
      <x:c r="B22" s="40" t="n">
        <x:v>580</x:v>
      </x:c>
      <x:c r="C22" s="40" t="n">
        <x:f>'等级经验对照表'!C20</x:f>
        <x:v>45</x:v>
      </x:c>
      <x:c r="D22" s="41" t="n">
        <x:f>'等级经验对照表'!E20</x:f>
        <x:v>19.333333333333332</x:v>
      </x:c>
      <x:c r="E22" s="41" t="n">
        <x:f>'等级经验对照表'!F20</x:f>
        <x:v>9.666666666666666</x:v>
      </x:c>
      <x:c r="F22" s="41" t="n">
        <x:f>C22/'参数说明'!$B$7</x:f>
        <x:v>1.5</x:v>
      </x:c>
      <x:c r="G22" s="40" t="n">
        <x:f>C22-C21</x:f>
        <x:v>-5</x:v>
      </x:c>
      <x:c r="H22" s="42" t="n">
        <x:f>IF(C21=0,"",C22/C21-1)</x:f>
        <x:v>-0.09999999999999998</x:v>
      </x:c>
      <x:c r="I22" s="32" t="str">
        <x:v>习惯建立期</x:v>
      </x:c>
      <x:c r="J22" s="32" t="str">
        <x:f>IF(G22&lt;0,"XP 回落",IF(H22&gt;0.5,"跳变较大","平稳"))</x:f>
        <x:v>XP 回落</x:v>
      </x:c>
      <x:c r="K22" s="60"/>
      <x:c r="L22" s="60"/>
      <x:c r="M22" s="60"/>
      <x:c r="N22" s="60"/>
      <x:c r="O22" s="60"/>
      <x:c r="P22" s="60"/>
      <x:c r="Q22" s="60"/>
      <x:c r="R22" s="60"/>
      <x:c r="S22" s="60"/>
    </x:row>
    <x:row r="23">
      <x:c r="A23" s="32" t="n">
        <x:v>19</x:v>
      </x:c>
      <x:c r="B23" s="40" t="n">
        <x:v>625</x:v>
      </x:c>
      <x:c r="C23" s="40" t="n">
        <x:f>'等级经验对照表'!C21</x:f>
        <x:v>45</x:v>
      </x:c>
      <x:c r="D23" s="41" t="n">
        <x:f>'等级经验对照表'!E21</x:f>
        <x:v>20.833333333333332</x:v>
      </x:c>
      <x:c r="E23" s="41" t="n">
        <x:f>'等级经验对照表'!F21</x:f>
        <x:v>10.416666666666666</x:v>
      </x:c>
      <x:c r="F23" s="41" t="n">
        <x:f>C23/'参数说明'!$B$7</x:f>
        <x:v>1.5</x:v>
      </x:c>
      <x:c r="G23" s="40" t="n">
        <x:f>C23-C22</x:f>
        <x:v>0</x:v>
      </x:c>
      <x:c r="H23" s="42" t="n">
        <x:f>IF(C22=0,"",C23/C22-1)</x:f>
        <x:v>0</x:v>
      </x:c>
      <x:c r="I23" s="32" t="str">
        <x:v>习惯建立期</x:v>
      </x:c>
      <x:c r="J23" s="32" t="str">
        <x:f>IF(G23&lt;0,"XP 回落",IF(H23&gt;0.5,"跳变较大","平稳"))</x:f>
        <x:v>平稳</x:v>
      </x:c>
      <x:c r="K23" s="60"/>
      <x:c r="L23" s="60"/>
      <x:c r="M23" s="60"/>
      <x:c r="N23" s="60"/>
      <x:c r="O23" s="60"/>
      <x:c r="P23" s="60"/>
      <x:c r="Q23" s="60"/>
      <x:c r="R23" s="60"/>
      <x:c r="S23" s="60"/>
    </x:row>
    <x:row r="24">
      <x:c r="A24" s="32" t="n">
        <x:v>20</x:v>
      </x:c>
      <x:c r="B24" s="40" t="n">
        <x:v>670</x:v>
      </x:c>
      <x:c r="C24" s="40" t="n">
        <x:f>'等级经验对照表'!C22</x:f>
        <x:v>45</x:v>
      </x:c>
      <x:c r="D24" s="41" t="n">
        <x:f>'等级经验对照表'!E22</x:f>
        <x:v>22.333333333333332</x:v>
      </x:c>
      <x:c r="E24" s="41" t="n">
        <x:f>'等级经验对照表'!F22</x:f>
        <x:v>11.166666666666666</x:v>
      </x:c>
      <x:c r="F24" s="41" t="n">
        <x:f>C24/'参数说明'!$B$7</x:f>
        <x:v>1.5</x:v>
      </x:c>
      <x:c r="G24" s="40" t="n">
        <x:f>C24-C23</x:f>
        <x:v>0</x:v>
      </x:c>
      <x:c r="H24" s="42" t="n">
        <x:f>IF(C23=0,"",C24/C23-1)</x:f>
        <x:v>0</x:v>
      </x:c>
      <x:c r="I24" s="32" t="str">
        <x:v>习惯建立期</x:v>
      </x:c>
      <x:c r="J24" s="32" t="str">
        <x:f>IF(G24&lt;0,"XP 回落",IF(H24&gt;0.5,"跳变较大","平稳"))</x:f>
        <x:v>平稳</x:v>
      </x:c>
      <x:c r="K24" s="60"/>
      <x:c r="L24" s="60"/>
      <x:c r="M24" s="60"/>
      <x:c r="N24" s="60"/>
      <x:c r="O24" s="60"/>
      <x:c r="P24" s="60"/>
      <x:c r="Q24" s="60"/>
      <x:c r="R24" s="60"/>
      <x:c r="S24" s="60"/>
    </x:row>
    <x:row r="25">
      <x:c r="A25" s="32" t="n">
        <x:v>21</x:v>
      </x:c>
      <x:c r="B25" s="40" t="n">
        <x:v>715</x:v>
      </x:c>
      <x:c r="C25" s="40" t="n">
        <x:f>'等级经验对照表'!C23</x:f>
        <x:v>45</x:v>
      </x:c>
      <x:c r="D25" s="41" t="n">
        <x:f>'等级经验对照表'!E23</x:f>
        <x:v>23.833333333333332</x:v>
      </x:c>
      <x:c r="E25" s="41" t="n">
        <x:f>'等级经验对照表'!F23</x:f>
        <x:v>11.916666666666666</x:v>
      </x:c>
      <x:c r="F25" s="41" t="n">
        <x:f>C25/'参数说明'!$B$7</x:f>
        <x:v>1.5</x:v>
      </x:c>
      <x:c r="G25" s="40" t="n">
        <x:f>C25-C24</x:f>
        <x:v>0</x:v>
      </x:c>
      <x:c r="H25" s="42" t="n">
        <x:f>IF(C24=0,"",C25/C24-1)</x:f>
        <x:v>0</x:v>
      </x:c>
      <x:c r="I25" s="32" t="str">
        <x:v>习惯建立期</x:v>
      </x:c>
      <x:c r="J25" s="32" t="str">
        <x:f>IF(G25&lt;0,"XP 回落",IF(H25&gt;0.5,"跳变较大","平稳"))</x:f>
        <x:v>平稳</x:v>
      </x:c>
      <x:c r="K25" s="60"/>
      <x:c r="L25" s="60"/>
      <x:c r="M25" s="60"/>
      <x:c r="N25" s="60"/>
      <x:c r="O25" s="60"/>
      <x:c r="P25" s="60"/>
      <x:c r="Q25" s="60"/>
      <x:c r="R25" s="60"/>
      <x:c r="S25" s="60"/>
    </x:row>
    <x:row r="26">
      <x:c r="A26" s="32" t="n">
        <x:v>22</x:v>
      </x:c>
      <x:c r="B26" s="40" t="n">
        <x:v>760</x:v>
      </x:c>
      <x:c r="C26" s="40" t="n">
        <x:f>'等级经验对照表'!C24</x:f>
        <x:v>50</x:v>
      </x:c>
      <x:c r="D26" s="41" t="n">
        <x:f>'等级经验对照表'!E24</x:f>
        <x:v>25.333333333333332</x:v>
      </x:c>
      <x:c r="E26" s="41" t="n">
        <x:f>'等级经验对照表'!F24</x:f>
        <x:v>12.666666666666666</x:v>
      </x:c>
      <x:c r="F26" s="41" t="n">
        <x:f>C26/'参数说明'!$B$7</x:f>
        <x:v>1.6666666666666667</x:v>
      </x:c>
      <x:c r="G26" s="40" t="n">
        <x:f>C26-C25</x:f>
        <x:v>5</x:v>
      </x:c>
      <x:c r="H26" s="42" t="n">
        <x:f>IF(C25=0,"",C26/C25-1)</x:f>
        <x:v>0.11111111111111116</x:v>
      </x:c>
      <x:c r="I26" s="32" t="str">
        <x:v>习惯建立期</x:v>
      </x:c>
      <x:c r="J26" s="32" t="str">
        <x:f>IF(G26&lt;0,"XP 回落",IF(H26&gt;0.5,"跳变较大","平稳"))</x:f>
        <x:v>平稳</x:v>
      </x:c>
      <x:c r="K26" s="60"/>
      <x:c r="L26" s="60"/>
      <x:c r="M26" s="60"/>
      <x:c r="N26" s="60"/>
      <x:c r="O26" s="60"/>
      <x:c r="P26" s="60"/>
      <x:c r="Q26" s="60"/>
      <x:c r="R26" s="60"/>
      <x:c r="S26" s="60"/>
    </x:row>
    <x:row r="27">
      <x:c r="A27" s="32" t="n">
        <x:v>23</x:v>
      </x:c>
      <x:c r="B27" s="40" t="n">
        <x:v>810</x:v>
      </x:c>
      <x:c r="C27" s="40" t="n">
        <x:f>'等级经验对照表'!C25</x:f>
        <x:v>45</x:v>
      </x:c>
      <x:c r="D27" s="41" t="n">
        <x:f>'等级经验对照表'!E25</x:f>
        <x:v>27</x:v>
      </x:c>
      <x:c r="E27" s="41" t="n">
        <x:f>'等级经验对照表'!F25</x:f>
        <x:v>13.5</x:v>
      </x:c>
      <x:c r="F27" s="41" t="n">
        <x:f>C27/'参数说明'!$B$7</x:f>
        <x:v>1.5</x:v>
      </x:c>
      <x:c r="G27" s="40" t="n">
        <x:f>C27-C26</x:f>
        <x:v>-5</x:v>
      </x:c>
      <x:c r="H27" s="42" t="n">
        <x:f>IF(C26=0,"",C27/C26-1)</x:f>
        <x:v>-0.09999999999999998</x:v>
      </x:c>
      <x:c r="I27" s="32" t="str">
        <x:v>习惯建立期</x:v>
      </x:c>
      <x:c r="J27" s="32" t="str">
        <x:f>IF(G27&lt;0,"XP 回落",IF(H27&gt;0.5,"跳变较大","平稳"))</x:f>
        <x:v>XP 回落</x:v>
      </x:c>
      <x:c r="K27" s="60"/>
      <x:c r="L27" s="60"/>
      <x:c r="M27" s="60"/>
      <x:c r="N27" s="60"/>
      <x:c r="O27" s="60"/>
      <x:c r="P27" s="60"/>
      <x:c r="Q27" s="60"/>
      <x:c r="R27" s="60"/>
      <x:c r="S27" s="60"/>
    </x:row>
    <x:row r="28">
      <x:c r="A28" s="32" t="n">
        <x:v>24</x:v>
      </x:c>
      <x:c r="B28" s="40" t="n">
        <x:v>855</x:v>
      </x:c>
      <x:c r="C28" s="40" t="n">
        <x:f>'等级经验对照表'!C26</x:f>
        <x:v>45</x:v>
      </x:c>
      <x:c r="D28" s="41" t="n">
        <x:f>'等级经验对照表'!E26</x:f>
        <x:v>28.5</x:v>
      </x:c>
      <x:c r="E28" s="41" t="n">
        <x:f>'等级经验对照表'!F26</x:f>
        <x:v>14.25</x:v>
      </x:c>
      <x:c r="F28" s="41" t="n">
        <x:f>C28/'参数说明'!$B$7</x:f>
        <x:v>1.5</x:v>
      </x:c>
      <x:c r="G28" s="40" t="n">
        <x:f>C28-C27</x:f>
        <x:v>0</x:v>
      </x:c>
      <x:c r="H28" s="42" t="n">
        <x:f>IF(C27=0,"",C28/C27-1)</x:f>
        <x:v>0</x:v>
      </x:c>
      <x:c r="I28" s="32" t="str">
        <x:v>习惯建立期</x:v>
      </x:c>
      <x:c r="J28" s="32" t="str">
        <x:f>IF(G28&lt;0,"XP 回落",IF(H28&gt;0.5,"跳变较大","平稳"))</x:f>
        <x:v>平稳</x:v>
      </x:c>
      <x:c r="K28" s="60"/>
      <x:c r="L28" s="60"/>
      <x:c r="M28" s="60"/>
      <x:c r="N28" s="60"/>
      <x:c r="O28" s="60"/>
      <x:c r="P28" s="60"/>
      <x:c r="Q28" s="60"/>
      <x:c r="R28" s="60"/>
      <x:c r="S28" s="60"/>
    </x:row>
    <x:row r="29">
      <x:c r="A29" s="32" t="n">
        <x:v>25</x:v>
      </x:c>
      <x:c r="B29" s="40" t="n">
        <x:v>900</x:v>
      </x:c>
      <x:c r="C29" s="40" t="n">
        <x:f>'等级经验对照表'!C27</x:f>
        <x:v>90</x:v>
      </x:c>
      <x:c r="D29" s="41" t="n">
        <x:f>'等级经验对照表'!E27</x:f>
        <x:v>30</x:v>
      </x:c>
      <x:c r="E29" s="41" t="n">
        <x:f>'等级经验对照表'!F27</x:f>
        <x:v>15</x:v>
      </x:c>
      <x:c r="F29" s="41" t="n">
        <x:f>C29/'参数说明'!$B$7</x:f>
        <x:v>3</x:v>
      </x:c>
      <x:c r="G29" s="40" t="n">
        <x:f>C29-C28</x:f>
        <x:v>45</x:v>
      </x:c>
      <x:c r="H29" s="42" t="n">
        <x:f>IF(C28=0,"",C29/C28-1)</x:f>
        <x:v>1</x:v>
      </x:c>
      <x:c r="I29" s="32" t="str">
        <x:v>习惯建立期</x:v>
      </x:c>
      <x:c r="J29" s="32" t="str">
        <x:f>IF(G29&lt;0,"XP 回落",IF(H29&gt;0.5,"跳变较大","平稳"))</x:f>
        <x:v>跳变较大</x:v>
      </x:c>
      <x:c r="K29" s="60"/>
      <x:c r="L29" s="60"/>
      <x:c r="M29" s="60"/>
      <x:c r="N29" s="60"/>
      <x:c r="O29" s="60"/>
      <x:c r="P29" s="60"/>
      <x:c r="Q29" s="60"/>
      <x:c r="R29" s="60"/>
      <x:c r="S29" s="60"/>
    </x:row>
    <x:row r="30">
      <x:c r="A30" s="32" t="n">
        <x:v>26</x:v>
      </x:c>
      <x:c r="B30" s="40" t="n">
        <x:v>990</x:v>
      </x:c>
      <x:c r="C30" s="40" t="n">
        <x:f>'等级经验对照表'!C28</x:f>
        <x:v>90</x:v>
      </x:c>
      <x:c r="D30" s="41" t="n">
        <x:f>'等级经验对照表'!E28</x:f>
        <x:v>33</x:v>
      </x:c>
      <x:c r="E30" s="41" t="n">
        <x:f>'等级经验对照表'!F28</x:f>
        <x:v>16.5</x:v>
      </x:c>
      <x:c r="F30" s="41" t="n">
        <x:f>C30/'参数说明'!$B$7</x:f>
        <x:v>3</x:v>
      </x:c>
      <x:c r="G30" s="40" t="n">
        <x:f>C30-C29</x:f>
        <x:v>0</x:v>
      </x:c>
      <x:c r="H30" s="42" t="n">
        <x:f>IF(C29=0,"",C30/C29-1)</x:f>
        <x:v>0</x:v>
      </x:c>
      <x:c r="I30" s="32" t="str">
        <x:v>稳定成长区</x:v>
      </x:c>
      <x:c r="J30" s="32" t="str">
        <x:f>IF(G30&lt;0,"XP 回落",IF(H30&gt;0.5,"跳变较大","平稳"))</x:f>
        <x:v>平稳</x:v>
      </x:c>
      <x:c r="K30" s="60"/>
      <x:c r="L30" s="60"/>
      <x:c r="M30" s="60"/>
      <x:c r="N30" s="60"/>
      <x:c r="O30" s="60"/>
      <x:c r="P30" s="60"/>
      <x:c r="Q30" s="60"/>
      <x:c r="R30" s="60"/>
      <x:c r="S30" s="60"/>
    </x:row>
    <x:row r="31">
      <x:c r="A31" s="32" t="n">
        <x:v>27</x:v>
      </x:c>
      <x:c r="B31" s="40" t="n">
        <x:v>1080</x:v>
      </x:c>
      <x:c r="C31" s="40" t="n">
        <x:f>'等级经验对照表'!C29</x:f>
        <x:v>90</x:v>
      </x:c>
      <x:c r="D31" s="41" t="n">
        <x:f>'等级经验对照表'!E29</x:f>
        <x:v>36</x:v>
      </x:c>
      <x:c r="E31" s="41" t="n">
        <x:f>'等级经验对照表'!F29</x:f>
        <x:v>18</x:v>
      </x:c>
      <x:c r="F31" s="41" t="n">
        <x:f>C31/'参数说明'!$B$7</x:f>
        <x:v>3</x:v>
      </x:c>
      <x:c r="G31" s="40" t="n">
        <x:f>C31-C30</x:f>
        <x:v>0</x:v>
      </x:c>
      <x:c r="H31" s="42" t="n">
        <x:f>IF(C30=0,"",C31/C30-1)</x:f>
        <x:v>0</x:v>
      </x:c>
      <x:c r="I31" s="32" t="str">
        <x:v>稳定成长区</x:v>
      </x:c>
      <x:c r="J31" s="32" t="str">
        <x:f>IF(G31&lt;0,"XP 回落",IF(H31&gt;0.5,"跳变较大","平稳"))</x:f>
        <x:v>平稳</x:v>
      </x:c>
      <x:c r="K31" s="60"/>
      <x:c r="L31" s="60"/>
      <x:c r="M31" s="60"/>
      <x:c r="N31" s="60"/>
      <x:c r="O31" s="60"/>
      <x:c r="P31" s="60"/>
      <x:c r="Q31" s="60"/>
      <x:c r="R31" s="60"/>
      <x:c r="S31" s="60"/>
    </x:row>
    <x:row r="32">
      <x:c r="A32" s="32" t="n">
        <x:v>28</x:v>
      </x:c>
      <x:c r="B32" s="40" t="n">
        <x:v>1170</x:v>
      </x:c>
      <x:c r="C32" s="40" t="n">
        <x:f>'等级经验对照表'!C30</x:f>
        <x:v>90</x:v>
      </x:c>
      <x:c r="D32" s="41" t="n">
        <x:f>'等级经验对照表'!E30</x:f>
        <x:v>39</x:v>
      </x:c>
      <x:c r="E32" s="41" t="n">
        <x:f>'等级经验对照表'!F30</x:f>
        <x:v>19.5</x:v>
      </x:c>
      <x:c r="F32" s="41" t="n">
        <x:f>C32/'参数说明'!$B$7</x:f>
        <x:v>3</x:v>
      </x:c>
      <x:c r="G32" s="40" t="n">
        <x:f>C32-C31</x:f>
        <x:v>0</x:v>
      </x:c>
      <x:c r="H32" s="42" t="n">
        <x:f>IF(C31=0,"",C32/C31-1)</x:f>
        <x:v>0</x:v>
      </x:c>
      <x:c r="I32" s="32" t="str">
        <x:v>稳定成长区</x:v>
      </x:c>
      <x:c r="J32" s="32" t="str">
        <x:f>IF(G32&lt;0,"XP 回落",IF(H32&gt;0.5,"跳变较大","平稳"))</x:f>
        <x:v>平稳</x:v>
      </x:c>
      <x:c r="K32" s="60"/>
      <x:c r="L32" s="60"/>
      <x:c r="M32" s="60"/>
      <x:c r="N32" s="60"/>
      <x:c r="O32" s="60"/>
      <x:c r="P32" s="60"/>
      <x:c r="Q32" s="60"/>
      <x:c r="R32" s="60"/>
      <x:c r="S32" s="60"/>
    </x:row>
    <x:row r="33">
      <x:c r="A33" s="32" t="n">
        <x:v>29</x:v>
      </x:c>
      <x:c r="B33" s="40" t="n">
        <x:v>1260</x:v>
      </x:c>
      <x:c r="C33" s="40" t="n">
        <x:f>'等级经验对照表'!C31</x:f>
        <x:v>90</x:v>
      </x:c>
      <x:c r="D33" s="41" t="n">
        <x:f>'等级经验对照表'!E31</x:f>
        <x:v>42</x:v>
      </x:c>
      <x:c r="E33" s="41" t="n">
        <x:f>'等级经验对照表'!F31</x:f>
        <x:v>21</x:v>
      </x:c>
      <x:c r="F33" s="41" t="n">
        <x:f>C33/'参数说明'!$B$7</x:f>
        <x:v>3</x:v>
      </x:c>
      <x:c r="G33" s="40" t="n">
        <x:f>C33-C32</x:f>
        <x:v>0</x:v>
      </x:c>
      <x:c r="H33" s="42" t="n">
        <x:f>IF(C32=0,"",C33/C32-1)</x:f>
        <x:v>0</x:v>
      </x:c>
      <x:c r="I33" s="32" t="str">
        <x:v>稳定成长区</x:v>
      </x:c>
      <x:c r="J33" s="32" t="str">
        <x:f>IF(G33&lt;0,"XP 回落",IF(H33&gt;0.5,"跳变较大","平稳"))</x:f>
        <x:v>平稳</x:v>
      </x:c>
      <x:c r="K33" s="60"/>
      <x:c r="L33" s="60"/>
      <x:c r="M33" s="60"/>
      <x:c r="N33" s="60"/>
      <x:c r="O33" s="60"/>
      <x:c r="P33" s="60"/>
      <x:c r="Q33" s="60"/>
      <x:c r="R33" s="60"/>
      <x:c r="S33" s="60"/>
    </x:row>
    <x:row r="34">
      <x:c r="A34" s="32" t="n">
        <x:v>30</x:v>
      </x:c>
      <x:c r="B34" s="40" t="n">
        <x:v>1350</x:v>
      </x:c>
      <x:c r="C34" s="40" t="n">
        <x:f>'等级经验对照表'!C32</x:f>
        <x:v>90</x:v>
      </x:c>
      <x:c r="D34" s="41" t="n">
        <x:f>'等级经验对照表'!E32</x:f>
        <x:v>45</x:v>
      </x:c>
      <x:c r="E34" s="41" t="n">
        <x:f>'等级经验对照表'!F32</x:f>
        <x:v>22.5</x:v>
      </x:c>
      <x:c r="F34" s="41" t="n">
        <x:f>C34/'参数说明'!$B$7</x:f>
        <x:v>3</x:v>
      </x:c>
      <x:c r="G34" s="40" t="n">
        <x:f>C34-C33</x:f>
        <x:v>0</x:v>
      </x:c>
      <x:c r="H34" s="42" t="n">
        <x:f>IF(C33=0,"",C34/C33-1)</x:f>
        <x:v>0</x:v>
      </x:c>
      <x:c r="I34" s="32" t="str">
        <x:v>稳定成长区</x:v>
      </x:c>
      <x:c r="J34" s="32" t="str">
        <x:f>IF(G34&lt;0,"XP 回落",IF(H34&gt;0.5,"跳变较大","平稳"))</x:f>
        <x:v>平稳</x:v>
      </x:c>
      <x:c r="K34" s="60"/>
      <x:c r="L34" s="60"/>
      <x:c r="M34" s="60"/>
      <x:c r="N34" s="60"/>
      <x:c r="O34" s="60"/>
      <x:c r="P34" s="60"/>
      <x:c r="Q34" s="60"/>
      <x:c r="R34" s="60"/>
      <x:c r="S34" s="60"/>
    </x:row>
    <x:row r="35">
      <x:c r="A35" s="32" t="n">
        <x:v>31</x:v>
      </x:c>
      <x:c r="B35" s="40" t="n">
        <x:v>1440</x:v>
      </x:c>
      <x:c r="C35" s="40" t="n">
        <x:f>'等级经验对照表'!C33</x:f>
        <x:v>90</x:v>
      </x:c>
      <x:c r="D35" s="41" t="n">
        <x:f>'等级经验对照表'!E33</x:f>
        <x:v>48</x:v>
      </x:c>
      <x:c r="E35" s="41" t="n">
        <x:f>'等级经验对照表'!F33</x:f>
        <x:v>24</x:v>
      </x:c>
      <x:c r="F35" s="41" t="n">
        <x:f>C35/'参数说明'!$B$7</x:f>
        <x:v>3</x:v>
      </x:c>
      <x:c r="G35" s="40" t="n">
        <x:f>C35-C34</x:f>
        <x:v>0</x:v>
      </x:c>
      <x:c r="H35" s="42" t="n">
        <x:f>IF(C34=0,"",C35/C34-1)</x:f>
        <x:v>0</x:v>
      </x:c>
      <x:c r="I35" s="32" t="str">
        <x:v>稳定成长区</x:v>
      </x:c>
      <x:c r="J35" s="32" t="str">
        <x:f>IF(G35&lt;0,"XP 回落",IF(H35&gt;0.5,"跳变较大","平稳"))</x:f>
        <x:v>平稳</x:v>
      </x:c>
      <x:c r="K35" s="60"/>
      <x:c r="L35" s="60"/>
      <x:c r="M35" s="60"/>
      <x:c r="N35" s="60"/>
      <x:c r="O35" s="60"/>
      <x:c r="P35" s="60"/>
      <x:c r="Q35" s="60"/>
      <x:c r="R35" s="60"/>
      <x:c r="S35" s="60"/>
    </x:row>
    <x:row r="36">
      <x:c r="A36" s="32" t="n">
        <x:v>32</x:v>
      </x:c>
      <x:c r="B36" s="40" t="n">
        <x:v>1530</x:v>
      </x:c>
      <x:c r="C36" s="40" t="n">
        <x:f>'等级经验对照表'!C34</x:f>
        <x:v>90</x:v>
      </x:c>
      <x:c r="D36" s="41" t="n">
        <x:f>'等级经验对照表'!E34</x:f>
        <x:v>51</x:v>
      </x:c>
      <x:c r="E36" s="41" t="n">
        <x:f>'等级经验对照表'!F34</x:f>
        <x:v>25.5</x:v>
      </x:c>
      <x:c r="F36" s="41" t="n">
        <x:f>C36/'参数说明'!$B$7</x:f>
        <x:v>3</x:v>
      </x:c>
      <x:c r="G36" s="40" t="n">
        <x:f>C36-C35</x:f>
        <x:v>0</x:v>
      </x:c>
      <x:c r="H36" s="42" t="n">
        <x:f>IF(C35=0,"",C36/C35-1)</x:f>
        <x:v>0</x:v>
      </x:c>
      <x:c r="I36" s="32" t="str">
        <x:v>稳定成长区</x:v>
      </x:c>
      <x:c r="J36" s="32" t="str">
        <x:f>IF(G36&lt;0,"XP 回落",IF(H36&gt;0.5,"跳变较大","平稳"))</x:f>
        <x:v>平稳</x:v>
      </x:c>
      <x:c r="K36" s="60"/>
      <x:c r="L36" s="60"/>
      <x:c r="M36" s="60"/>
      <x:c r="N36" s="60"/>
      <x:c r="O36" s="60"/>
      <x:c r="P36" s="60"/>
      <x:c r="Q36" s="60"/>
      <x:c r="R36" s="60"/>
      <x:c r="S36" s="60"/>
    </x:row>
    <x:row r="37">
      <x:c r="A37" s="32" t="n">
        <x:v>33</x:v>
      </x:c>
      <x:c r="B37" s="40" t="n">
        <x:v>1620</x:v>
      </x:c>
      <x:c r="C37" s="40" t="n">
        <x:f>'等级经验对照表'!C35</x:f>
        <x:v>90</x:v>
      </x:c>
      <x:c r="D37" s="41" t="n">
        <x:f>'等级经验对照表'!E35</x:f>
        <x:v>54</x:v>
      </x:c>
      <x:c r="E37" s="41" t="n">
        <x:f>'等级经验对照表'!F35</x:f>
        <x:v>27</x:v>
      </x:c>
      <x:c r="F37" s="41" t="n">
        <x:f>C37/'参数说明'!$B$7</x:f>
        <x:v>3</x:v>
      </x:c>
      <x:c r="G37" s="40" t="n">
        <x:f>C37-C36</x:f>
        <x:v>0</x:v>
      </x:c>
      <x:c r="H37" s="42" t="n">
        <x:f>IF(C36=0,"",C37/C36-1)</x:f>
        <x:v>0</x:v>
      </x:c>
      <x:c r="I37" s="32" t="str">
        <x:v>稳定成长区</x:v>
      </x:c>
      <x:c r="J37" s="32" t="str">
        <x:f>IF(G37&lt;0,"XP 回落",IF(H37&gt;0.5,"跳变较大","平稳"))</x:f>
        <x:v>平稳</x:v>
      </x:c>
      <x:c r="K37" s="60"/>
      <x:c r="L37" s="60"/>
      <x:c r="M37" s="60"/>
      <x:c r="N37" s="60"/>
      <x:c r="O37" s="60"/>
      <x:c r="P37" s="60"/>
      <x:c r="Q37" s="60"/>
      <x:c r="R37" s="60"/>
      <x:c r="S37" s="60"/>
    </x:row>
    <x:row r="38">
      <x:c r="A38" s="32" t="n">
        <x:v>34</x:v>
      </x:c>
      <x:c r="B38" s="40" t="n">
        <x:v>1710</x:v>
      </x:c>
      <x:c r="C38" s="40" t="n">
        <x:f>'等级经验对照表'!C36</x:f>
        <x:v>90</x:v>
      </x:c>
      <x:c r="D38" s="41" t="n">
        <x:f>'等级经验对照表'!E36</x:f>
        <x:v>57</x:v>
      </x:c>
      <x:c r="E38" s="41" t="n">
        <x:f>'等级经验对照表'!F36</x:f>
        <x:v>28.5</x:v>
      </x:c>
      <x:c r="F38" s="41" t="n">
        <x:f>C38/'参数说明'!$B$7</x:f>
        <x:v>3</x:v>
      </x:c>
      <x:c r="G38" s="40" t="n">
        <x:f>C38-C37</x:f>
        <x:v>0</x:v>
      </x:c>
      <x:c r="H38" s="42" t="n">
        <x:f>IF(C37=0,"",C38/C37-1)</x:f>
        <x:v>0</x:v>
      </x:c>
      <x:c r="I38" s="32" t="str">
        <x:v>稳定成长区</x:v>
      </x:c>
      <x:c r="J38" s="32" t="str">
        <x:f>IF(G38&lt;0,"XP 回落",IF(H38&gt;0.5,"跳变较大","平稳"))</x:f>
        <x:v>平稳</x:v>
      </x:c>
      <x:c r="K38" s="60"/>
      <x:c r="L38" s="60"/>
      <x:c r="M38" s="60"/>
      <x:c r="N38" s="60"/>
      <x:c r="O38" s="60"/>
      <x:c r="P38" s="60"/>
      <x:c r="Q38" s="60"/>
      <x:c r="R38" s="60"/>
      <x:c r="S38" s="60"/>
    </x:row>
    <x:row r="39">
      <x:c r="A39" s="32" t="n">
        <x:v>35</x:v>
      </x:c>
      <x:c r="B39" s="40" t="n">
        <x:v>1800</x:v>
      </x:c>
      <x:c r="C39" s="40" t="n">
        <x:f>'等级经验对照表'!C37</x:f>
        <x:v>90</x:v>
      </x:c>
      <x:c r="D39" s="41" t="n">
        <x:f>'等级经验对照表'!E37</x:f>
        <x:v>60</x:v>
      </x:c>
      <x:c r="E39" s="41" t="n">
        <x:f>'等级经验对照表'!F37</x:f>
        <x:v>30</x:v>
      </x:c>
      <x:c r="F39" s="41" t="n">
        <x:f>C39/'参数说明'!$B$7</x:f>
        <x:v>3</x:v>
      </x:c>
      <x:c r="G39" s="40" t="n">
        <x:f>C39-C38</x:f>
        <x:v>0</x:v>
      </x:c>
      <x:c r="H39" s="42" t="n">
        <x:f>IF(C38=0,"",C39/C38-1)</x:f>
        <x:v>0</x:v>
      </x:c>
      <x:c r="I39" s="32" t="str">
        <x:v>稳定成长区</x:v>
      </x:c>
      <x:c r="J39" s="32" t="str">
        <x:f>IF(G39&lt;0,"XP 回落",IF(H39&gt;0.5,"跳变较大","平稳"))</x:f>
        <x:v>平稳</x:v>
      </x:c>
      <x:c r="K39" s="60"/>
      <x:c r="L39" s="60"/>
      <x:c r="M39" s="60"/>
      <x:c r="N39" s="60"/>
      <x:c r="O39" s="60"/>
      <x:c r="P39" s="60"/>
      <x:c r="Q39" s="60"/>
      <x:c r="R39" s="60"/>
      <x:c r="S39" s="60"/>
    </x:row>
    <x:row r="40">
      <x:c r="A40" s="32" t="n">
        <x:v>36</x:v>
      </x:c>
      <x:c r="B40" s="40" t="n">
        <x:v>1890</x:v>
      </x:c>
      <x:c r="C40" s="40" t="n">
        <x:f>'等级经验对照表'!C38</x:f>
        <x:v>90</x:v>
      </x:c>
      <x:c r="D40" s="41" t="n">
        <x:f>'等级经验对照表'!E38</x:f>
        <x:v>63</x:v>
      </x:c>
      <x:c r="E40" s="41" t="n">
        <x:f>'等级经验对照表'!F38</x:f>
        <x:v>31.5</x:v>
      </x:c>
      <x:c r="F40" s="41" t="n">
        <x:f>C40/'参数说明'!$B$7</x:f>
        <x:v>3</x:v>
      </x:c>
      <x:c r="G40" s="40" t="n">
        <x:f>C40-C39</x:f>
        <x:v>0</x:v>
      </x:c>
      <x:c r="H40" s="42" t="n">
        <x:f>IF(C39=0,"",C40/C39-1)</x:f>
        <x:v>0</x:v>
      </x:c>
      <x:c r="I40" s="32" t="str">
        <x:v>稳定成长区</x:v>
      </x:c>
      <x:c r="J40" s="32" t="str">
        <x:f>IF(G40&lt;0,"XP 回落",IF(H40&gt;0.5,"跳变较大","平稳"))</x:f>
        <x:v>平稳</x:v>
      </x:c>
      <x:c r="K40" s="60"/>
      <x:c r="L40" s="60"/>
      <x:c r="M40" s="60"/>
      <x:c r="N40" s="60"/>
      <x:c r="O40" s="60"/>
      <x:c r="P40" s="60"/>
      <x:c r="Q40" s="60"/>
      <x:c r="R40" s="60"/>
      <x:c r="S40" s="60"/>
    </x:row>
    <x:row r="41">
      <x:c r="A41" s="32" t="n">
        <x:v>37</x:v>
      </x:c>
      <x:c r="B41" s="40" t="n">
        <x:v>1980</x:v>
      </x:c>
      <x:c r="C41" s="40" t="n">
        <x:f>'等级经验对照表'!C39</x:f>
        <x:v>90</x:v>
      </x:c>
      <x:c r="D41" s="41" t="n">
        <x:f>'等级经验对照表'!E39</x:f>
        <x:v>66</x:v>
      </x:c>
      <x:c r="E41" s="41" t="n">
        <x:f>'等级经验对照表'!F39</x:f>
        <x:v>33</x:v>
      </x:c>
      <x:c r="F41" s="41" t="n">
        <x:f>C41/'参数说明'!$B$7</x:f>
        <x:v>3</x:v>
      </x:c>
      <x:c r="G41" s="40" t="n">
        <x:f>C41-C40</x:f>
        <x:v>0</x:v>
      </x:c>
      <x:c r="H41" s="42" t="n">
        <x:f>IF(C40=0,"",C41/C40-1)</x:f>
        <x:v>0</x:v>
      </x:c>
      <x:c r="I41" s="32" t="str">
        <x:v>稳定成长区</x:v>
      </x:c>
      <x:c r="J41" s="32" t="str">
        <x:f>IF(G41&lt;0,"XP 回落",IF(H41&gt;0.5,"跳变较大","平稳"))</x:f>
        <x:v>平稳</x:v>
      </x:c>
      <x:c r="K41" s="60"/>
      <x:c r="L41" s="60"/>
      <x:c r="M41" s="60"/>
      <x:c r="N41" s="60"/>
      <x:c r="O41" s="60"/>
      <x:c r="P41" s="60"/>
      <x:c r="Q41" s="60"/>
      <x:c r="R41" s="60"/>
      <x:c r="S41" s="60"/>
    </x:row>
    <x:row r="42">
      <x:c r="A42" s="32" t="n">
        <x:v>38</x:v>
      </x:c>
      <x:c r="B42" s="40" t="n">
        <x:v>2070</x:v>
      </x:c>
      <x:c r="C42" s="40" t="n">
        <x:f>'等级经验对照表'!C40</x:f>
        <x:v>90</x:v>
      </x:c>
      <x:c r="D42" s="41" t="n">
        <x:f>'等级经验对照表'!E40</x:f>
        <x:v>69</x:v>
      </x:c>
      <x:c r="E42" s="41" t="n">
        <x:f>'等级经验对照表'!F40</x:f>
        <x:v>34.5</x:v>
      </x:c>
      <x:c r="F42" s="41" t="n">
        <x:f>C42/'参数说明'!$B$7</x:f>
        <x:v>3</x:v>
      </x:c>
      <x:c r="G42" s="40" t="n">
        <x:f>C42-C41</x:f>
        <x:v>0</x:v>
      </x:c>
      <x:c r="H42" s="42" t="n">
        <x:f>IF(C41=0,"",C42/C41-1)</x:f>
        <x:v>0</x:v>
      </x:c>
      <x:c r="I42" s="32" t="str">
        <x:v>稳定成长区</x:v>
      </x:c>
      <x:c r="J42" s="32" t="str">
        <x:f>IF(G42&lt;0,"XP 回落",IF(H42&gt;0.5,"跳变较大","平稳"))</x:f>
        <x:v>平稳</x:v>
      </x:c>
      <x:c r="K42" s="60"/>
      <x:c r="L42" s="60"/>
      <x:c r="M42" s="60"/>
      <x:c r="N42" s="60"/>
      <x:c r="O42" s="60"/>
      <x:c r="P42" s="60"/>
      <x:c r="Q42" s="60"/>
      <x:c r="R42" s="60"/>
      <x:c r="S42" s="60"/>
    </x:row>
    <x:row r="43">
      <x:c r="A43" s="32" t="n">
        <x:v>39</x:v>
      </x:c>
      <x:c r="B43" s="40" t="n">
        <x:v>2160</x:v>
      </x:c>
      <x:c r="C43" s="40" t="n">
        <x:f>'等级经验对照表'!C41</x:f>
        <x:v>90</x:v>
      </x:c>
      <x:c r="D43" s="41" t="n">
        <x:f>'等级经验对照表'!E41</x:f>
        <x:v>72</x:v>
      </x:c>
      <x:c r="E43" s="41" t="n">
        <x:f>'等级经验对照表'!F41</x:f>
        <x:v>36</x:v>
      </x:c>
      <x:c r="F43" s="41" t="n">
        <x:f>C43/'参数说明'!$B$7</x:f>
        <x:v>3</x:v>
      </x:c>
      <x:c r="G43" s="40" t="n">
        <x:f>C43-C42</x:f>
        <x:v>0</x:v>
      </x:c>
      <x:c r="H43" s="42" t="n">
        <x:f>IF(C42=0,"",C43/C42-1)</x:f>
        <x:v>0</x:v>
      </x:c>
      <x:c r="I43" s="32" t="str">
        <x:v>稳定成长区</x:v>
      </x:c>
      <x:c r="J43" s="32" t="str">
        <x:f>IF(G43&lt;0,"XP 回落",IF(H43&gt;0.5,"跳变较大","平稳"))</x:f>
        <x:v>平稳</x:v>
      </x:c>
      <x:c r="K43" s="60"/>
      <x:c r="L43" s="60"/>
      <x:c r="M43" s="60"/>
      <x:c r="N43" s="60"/>
      <x:c r="O43" s="60"/>
      <x:c r="P43" s="60"/>
      <x:c r="Q43" s="60"/>
      <x:c r="R43" s="60"/>
      <x:c r="S43" s="60"/>
    </x:row>
    <x:row r="44">
      <x:c r="A44" s="32" t="n">
        <x:v>40</x:v>
      </x:c>
      <x:c r="B44" s="40" t="n">
        <x:v>2250</x:v>
      </x:c>
      <x:c r="C44" s="40" t="n">
        <x:f>'等级经验对照表'!C42</x:f>
        <x:v>90</x:v>
      </x:c>
      <x:c r="D44" s="41" t="n">
        <x:f>'等级经验对照表'!E42</x:f>
        <x:v>75</x:v>
      </x:c>
      <x:c r="E44" s="41" t="n">
        <x:f>'等级经验对照表'!F42</x:f>
        <x:v>37.5</x:v>
      </x:c>
      <x:c r="F44" s="41" t="n">
        <x:f>C44/'参数说明'!$B$7</x:f>
        <x:v>3</x:v>
      </x:c>
      <x:c r="G44" s="40" t="n">
        <x:f>C44-C43</x:f>
        <x:v>0</x:v>
      </x:c>
      <x:c r="H44" s="42" t="n">
        <x:f>IF(C43=0,"",C44/C43-1)</x:f>
        <x:v>0</x:v>
      </x:c>
      <x:c r="I44" s="32" t="str">
        <x:v>稳定成长区</x:v>
      </x:c>
      <x:c r="J44" s="32" t="str">
        <x:f>IF(G44&lt;0,"XP 回落",IF(H44&gt;0.5,"跳变较大","平稳"))</x:f>
        <x:v>平稳</x:v>
      </x:c>
      <x:c r="K44" s="60"/>
      <x:c r="L44" s="60"/>
      <x:c r="M44" s="60"/>
      <x:c r="N44" s="60"/>
      <x:c r="O44" s="60"/>
      <x:c r="P44" s="60"/>
      <x:c r="Q44" s="60"/>
      <x:c r="R44" s="60"/>
      <x:c r="S44" s="60"/>
    </x:row>
    <x:row r="45">
      <x:c r="A45" s="32" t="n">
        <x:v>41</x:v>
      </x:c>
      <x:c r="B45" s="40" t="n">
        <x:v>2340</x:v>
      </x:c>
      <x:c r="C45" s="40" t="n">
        <x:f>'等级经验对照表'!C43</x:f>
        <x:v>90</x:v>
      </x:c>
      <x:c r="D45" s="41" t="n">
        <x:f>'等级经验对照表'!E43</x:f>
        <x:v>78</x:v>
      </x:c>
      <x:c r="E45" s="41" t="n">
        <x:f>'等级经验对照表'!F43</x:f>
        <x:v>39</x:v>
      </x:c>
      <x:c r="F45" s="41" t="n">
        <x:f>C45/'参数说明'!$B$7</x:f>
        <x:v>3</x:v>
      </x:c>
      <x:c r="G45" s="40" t="n">
        <x:f>C45-C44</x:f>
        <x:v>0</x:v>
      </x:c>
      <x:c r="H45" s="42" t="n">
        <x:f>IF(C44=0,"",C45/C44-1)</x:f>
        <x:v>0</x:v>
      </x:c>
      <x:c r="I45" s="32" t="str">
        <x:v>稳定成长区</x:v>
      </x:c>
      <x:c r="J45" s="32" t="str">
        <x:f>IF(G45&lt;0,"XP 回落",IF(H45&gt;0.5,"跳变较大","平稳"))</x:f>
        <x:v>平稳</x:v>
      </x:c>
      <x:c r="K45" s="60"/>
      <x:c r="L45" s="60"/>
      <x:c r="M45" s="60"/>
      <x:c r="N45" s="60"/>
      <x:c r="O45" s="60"/>
      <x:c r="P45" s="60"/>
      <x:c r="Q45" s="60"/>
      <x:c r="R45" s="60"/>
      <x:c r="S45" s="60"/>
    </x:row>
    <x:row r="46">
      <x:c r="A46" s="32" t="n">
        <x:v>42</x:v>
      </x:c>
      <x:c r="B46" s="40" t="n">
        <x:v>2430</x:v>
      </x:c>
      <x:c r="C46" s="40" t="n">
        <x:f>'等级经验对照表'!C44</x:f>
        <x:v>90</x:v>
      </x:c>
      <x:c r="D46" s="41" t="n">
        <x:f>'等级经验对照表'!E44</x:f>
        <x:v>81</x:v>
      </x:c>
      <x:c r="E46" s="41" t="n">
        <x:f>'等级经验对照表'!F44</x:f>
        <x:v>40.5</x:v>
      </x:c>
      <x:c r="F46" s="41" t="n">
        <x:f>C46/'参数说明'!$B$7</x:f>
        <x:v>3</x:v>
      </x:c>
      <x:c r="G46" s="40" t="n">
        <x:f>C46-C45</x:f>
        <x:v>0</x:v>
      </x:c>
      <x:c r="H46" s="42" t="n">
        <x:f>IF(C45=0,"",C46/C45-1)</x:f>
        <x:v>0</x:v>
      </x:c>
      <x:c r="I46" s="32" t="str">
        <x:v>稳定成长区</x:v>
      </x:c>
      <x:c r="J46" s="32" t="str">
        <x:f>IF(G46&lt;0,"XP 回落",IF(H46&gt;0.5,"跳变较大","平稳"))</x:f>
        <x:v>平稳</x:v>
      </x:c>
      <x:c r="K46" s="60"/>
      <x:c r="L46" s="60"/>
      <x:c r="M46" s="60"/>
      <x:c r="N46" s="60"/>
      <x:c r="O46" s="60"/>
      <x:c r="P46" s="60"/>
      <x:c r="Q46" s="60"/>
      <x:c r="R46" s="60"/>
      <x:c r="S46" s="60"/>
    </x:row>
    <x:row r="47">
      <x:c r="A47" s="32" t="n">
        <x:v>43</x:v>
      </x:c>
      <x:c r="B47" s="40" t="n">
        <x:v>2520</x:v>
      </x:c>
      <x:c r="C47" s="40" t="n">
        <x:f>'等级经验对照表'!C45</x:f>
        <x:v>90</x:v>
      </x:c>
      <x:c r="D47" s="41" t="n">
        <x:f>'等级经验对照表'!E45</x:f>
        <x:v>84</x:v>
      </x:c>
      <x:c r="E47" s="41" t="n">
        <x:f>'等级经验对照表'!F45</x:f>
        <x:v>42</x:v>
      </x:c>
      <x:c r="F47" s="41" t="n">
        <x:f>C47/'参数说明'!$B$7</x:f>
        <x:v>3</x:v>
      </x:c>
      <x:c r="G47" s="40" t="n">
        <x:f>C47-C46</x:f>
        <x:v>0</x:v>
      </x:c>
      <x:c r="H47" s="42" t="n">
        <x:f>IF(C46=0,"",C47/C46-1)</x:f>
        <x:v>0</x:v>
      </x:c>
      <x:c r="I47" s="32" t="str">
        <x:v>稳定成长区</x:v>
      </x:c>
      <x:c r="J47" s="32" t="str">
        <x:f>IF(G47&lt;0,"XP 回落",IF(H47&gt;0.5,"跳变较大","平稳"))</x:f>
        <x:v>平稳</x:v>
      </x:c>
      <x:c r="K47" s="60"/>
      <x:c r="L47" s="60"/>
      <x:c r="M47" s="60"/>
      <x:c r="N47" s="60"/>
      <x:c r="O47" s="60"/>
      <x:c r="P47" s="60"/>
      <x:c r="Q47" s="60"/>
      <x:c r="R47" s="60"/>
      <x:c r="S47" s="60"/>
    </x:row>
    <x:row r="48">
      <x:c r="A48" s="32" t="n">
        <x:v>44</x:v>
      </x:c>
      <x:c r="B48" s="40" t="n">
        <x:v>2610</x:v>
      </x:c>
      <x:c r="C48" s="40" t="n">
        <x:f>'等级经验对照表'!C46</x:f>
        <x:v>90</x:v>
      </x:c>
      <x:c r="D48" s="41" t="n">
        <x:f>'等级经验对照表'!E46</x:f>
        <x:v>87</x:v>
      </x:c>
      <x:c r="E48" s="41" t="n">
        <x:f>'等级经验对照表'!F46</x:f>
        <x:v>43.5</x:v>
      </x:c>
      <x:c r="F48" s="41" t="n">
        <x:f>C48/'参数说明'!$B$7</x:f>
        <x:v>3</x:v>
      </x:c>
      <x:c r="G48" s="40" t="n">
        <x:f>C48-C47</x:f>
        <x:v>0</x:v>
      </x:c>
      <x:c r="H48" s="42" t="n">
        <x:f>IF(C47=0,"",C48/C47-1)</x:f>
        <x:v>0</x:v>
      </x:c>
      <x:c r="I48" s="32" t="str">
        <x:v>稳定成长区</x:v>
      </x:c>
      <x:c r="J48" s="32" t="str">
        <x:f>IF(G48&lt;0,"XP 回落",IF(H48&gt;0.5,"跳变较大","平稳"))</x:f>
        <x:v>平稳</x:v>
      </x:c>
      <x:c r="K48" s="60"/>
      <x:c r="L48" s="60"/>
      <x:c r="M48" s="60"/>
      <x:c r="N48" s="60"/>
      <x:c r="O48" s="60"/>
      <x:c r="P48" s="60"/>
      <x:c r="Q48" s="60"/>
      <x:c r="R48" s="60"/>
      <x:c r="S48" s="60"/>
    </x:row>
    <x:row r="49">
      <x:c r="A49" s="32" t="n">
        <x:v>45</x:v>
      </x:c>
      <x:c r="B49" s="40" t="n">
        <x:v>2700</x:v>
      </x:c>
      <x:c r="C49" s="40" t="n">
        <x:f>'等级经验对照表'!C47</x:f>
        <x:v>135</x:v>
      </x:c>
      <x:c r="D49" s="41" t="n">
        <x:f>'等级经验对照表'!E47</x:f>
        <x:v>90</x:v>
      </x:c>
      <x:c r="E49" s="41" t="n">
        <x:f>'等级经验对照表'!F47</x:f>
        <x:v>45</x:v>
      </x:c>
      <x:c r="F49" s="41" t="n">
        <x:f>C49/'参数说明'!$B$7</x:f>
        <x:v>4.5</x:v>
      </x:c>
      <x:c r="G49" s="40" t="n">
        <x:f>C49-C48</x:f>
        <x:v>45</x:v>
      </x:c>
      <x:c r="H49" s="42" t="n">
        <x:f>IF(C48=0,"",C49/C48-1)</x:f>
        <x:v>0.5</x:v>
      </x:c>
      <x:c r="I49" s="32" t="str">
        <x:v>稳定成长区</x:v>
      </x:c>
      <x:c r="J49" s="32" t="str">
        <x:f>IF(G49&lt;0,"XP 回落",IF(H49&gt;0.5,"跳变较大","平稳"))</x:f>
        <x:v>平稳</x:v>
      </x:c>
      <x:c r="K49" s="60"/>
      <x:c r="L49" s="60"/>
      <x:c r="M49" s="60"/>
      <x:c r="N49" s="60"/>
      <x:c r="O49" s="60"/>
      <x:c r="P49" s="60"/>
      <x:c r="Q49" s="60"/>
      <x:c r="R49" s="60"/>
      <x:c r="S49" s="60"/>
    </x:row>
    <x:row r="50">
      <x:c r="A50" s="32" t="n">
        <x:v>46</x:v>
      </x:c>
      <x:c r="B50" s="40" t="n">
        <x:v>2835</x:v>
      </x:c>
      <x:c r="C50" s="40" t="n">
        <x:f>'等级经验对照表'!C48</x:f>
        <x:v>135</x:v>
      </x:c>
      <x:c r="D50" s="41" t="n">
        <x:f>'等级经验对照表'!E48</x:f>
        <x:v>94.5</x:v>
      </x:c>
      <x:c r="E50" s="41" t="n">
        <x:f>'等级经验对照表'!F48</x:f>
        <x:v>47.25</x:v>
      </x:c>
      <x:c r="F50" s="41" t="n">
        <x:f>C50/'参数说明'!$B$7</x:f>
        <x:v>4.5</x:v>
      </x:c>
      <x:c r="G50" s="40" t="n">
        <x:f>C50-C49</x:f>
        <x:v>0</x:v>
      </x:c>
      <x:c r="H50" s="42" t="n">
        <x:f>IF(C49=0,"",C50/C49-1)</x:f>
        <x:v>0</x:v>
      </x:c>
      <x:c r="I50" s="32" t="str">
        <x:v>长期投入区</x:v>
      </x:c>
      <x:c r="J50" s="32" t="str">
        <x:f>IF(G50&lt;0,"XP 回落",IF(H50&gt;0.5,"跳变较大","平稳"))</x:f>
        <x:v>平稳</x:v>
      </x:c>
      <x:c r="K50" s="60"/>
      <x:c r="L50" s="60"/>
      <x:c r="M50" s="60"/>
      <x:c r="N50" s="60"/>
      <x:c r="O50" s="60"/>
      <x:c r="P50" s="60"/>
      <x:c r="Q50" s="60"/>
      <x:c r="R50" s="60"/>
      <x:c r="S50" s="60"/>
    </x:row>
    <x:row r="51">
      <x:c r="A51" s="32" t="n">
        <x:v>47</x:v>
      </x:c>
      <x:c r="B51" s="40" t="n">
        <x:v>2970</x:v>
      </x:c>
      <x:c r="C51" s="40" t="n">
        <x:f>'等级经验对照表'!C49</x:f>
        <x:v>135</x:v>
      </x:c>
      <x:c r="D51" s="41" t="n">
        <x:f>'等级经验对照表'!E49</x:f>
        <x:v>99</x:v>
      </x:c>
      <x:c r="E51" s="41" t="n">
        <x:f>'等级经验对照表'!F49</x:f>
        <x:v>49.5</x:v>
      </x:c>
      <x:c r="F51" s="41" t="n">
        <x:f>C51/'参数说明'!$B$7</x:f>
        <x:v>4.5</x:v>
      </x:c>
      <x:c r="G51" s="40" t="n">
        <x:f>C51-C50</x:f>
        <x:v>0</x:v>
      </x:c>
      <x:c r="H51" s="42" t="n">
        <x:f>IF(C50=0,"",C51/C50-1)</x:f>
        <x:v>0</x:v>
      </x:c>
      <x:c r="I51" s="32" t="str">
        <x:v>长期投入区</x:v>
      </x:c>
      <x:c r="J51" s="32" t="str">
        <x:f>IF(G51&lt;0,"XP 回落",IF(H51&gt;0.5,"跳变较大","平稳"))</x:f>
        <x:v>平稳</x:v>
      </x:c>
      <x:c r="K51" s="60"/>
      <x:c r="L51" s="60"/>
      <x:c r="M51" s="60"/>
      <x:c r="N51" s="60"/>
      <x:c r="O51" s="60"/>
      <x:c r="P51" s="60"/>
      <x:c r="Q51" s="60"/>
      <x:c r="R51" s="60"/>
      <x:c r="S51" s="60"/>
    </x:row>
    <x:row r="52">
      <x:c r="A52" s="32" t="n">
        <x:v>48</x:v>
      </x:c>
      <x:c r="B52" s="40" t="n">
        <x:v>3105</x:v>
      </x:c>
      <x:c r="C52" s="40" t="n">
        <x:f>'等级经验对照表'!C50</x:f>
        <x:v>135</x:v>
      </x:c>
      <x:c r="D52" s="41" t="n">
        <x:f>'等级经验对照表'!E50</x:f>
        <x:v>103.5</x:v>
      </x:c>
      <x:c r="E52" s="41" t="n">
        <x:f>'等级经验对照表'!F50</x:f>
        <x:v>51.75</x:v>
      </x:c>
      <x:c r="F52" s="41" t="n">
        <x:f>C52/'参数说明'!$B$7</x:f>
        <x:v>4.5</x:v>
      </x:c>
      <x:c r="G52" s="40" t="n">
        <x:f>C52-C51</x:f>
        <x:v>0</x:v>
      </x:c>
      <x:c r="H52" s="42" t="n">
        <x:f>IF(C51=0,"",C52/C51-1)</x:f>
        <x:v>0</x:v>
      </x:c>
      <x:c r="I52" s="32" t="str">
        <x:v>长期投入区</x:v>
      </x:c>
      <x:c r="J52" s="32" t="str">
        <x:f>IF(G52&lt;0,"XP 回落",IF(H52&gt;0.5,"跳变较大","平稳"))</x:f>
        <x:v>平稳</x:v>
      </x:c>
      <x:c r="K52" s="60"/>
      <x:c r="L52" s="60"/>
      <x:c r="M52" s="60"/>
      <x:c r="N52" s="60"/>
      <x:c r="O52" s="60"/>
      <x:c r="P52" s="60"/>
      <x:c r="Q52" s="60"/>
      <x:c r="R52" s="60"/>
      <x:c r="S52" s="60"/>
    </x:row>
    <x:row r="53">
      <x:c r="A53" s="32" t="n">
        <x:v>49</x:v>
      </x:c>
      <x:c r="B53" s="40" t="n">
        <x:v>3240</x:v>
      </x:c>
      <x:c r="C53" s="40" t="n">
        <x:f>'等级经验对照表'!C51</x:f>
        <x:v>135</x:v>
      </x:c>
      <x:c r="D53" s="41" t="n">
        <x:f>'等级经验对照表'!E51</x:f>
        <x:v>108</x:v>
      </x:c>
      <x:c r="E53" s="41" t="n">
        <x:f>'等级经验对照表'!F51</x:f>
        <x:v>54</x:v>
      </x:c>
      <x:c r="F53" s="41" t="n">
        <x:f>C53/'参数说明'!$B$7</x:f>
        <x:v>4.5</x:v>
      </x:c>
      <x:c r="G53" s="40" t="n">
        <x:f>C53-C52</x:f>
        <x:v>0</x:v>
      </x:c>
      <x:c r="H53" s="42" t="n">
        <x:f>IF(C52=0,"",C53/C52-1)</x:f>
        <x:v>0</x:v>
      </x:c>
      <x:c r="I53" s="32" t="str">
        <x:v>长期投入区</x:v>
      </x:c>
      <x:c r="J53" s="32" t="str">
        <x:f>IF(G53&lt;0,"XP 回落",IF(H53&gt;0.5,"跳变较大","平稳"))</x:f>
        <x:v>平稳</x:v>
      </x:c>
      <x:c r="K53" s="60"/>
      <x:c r="L53" s="60"/>
      <x:c r="M53" s="60"/>
      <x:c r="N53" s="60"/>
      <x:c r="O53" s="60"/>
      <x:c r="P53" s="60"/>
      <x:c r="Q53" s="60"/>
      <x:c r="R53" s="60"/>
      <x:c r="S53" s="60"/>
    </x:row>
    <x:row r="54">
      <x:c r="A54" s="32" t="n">
        <x:v>50</x:v>
      </x:c>
      <x:c r="B54" s="40" t="n">
        <x:v>3375</x:v>
      </x:c>
      <x:c r="C54" s="40" t="n">
        <x:f>'等级经验对照表'!C52</x:f>
        <x:v>135</x:v>
      </x:c>
      <x:c r="D54" s="41" t="n">
        <x:f>'等级经验对照表'!E52</x:f>
        <x:v>112.5</x:v>
      </x:c>
      <x:c r="E54" s="41" t="n">
        <x:f>'等级经验对照表'!F52</x:f>
        <x:v>56.25</x:v>
      </x:c>
      <x:c r="F54" s="41" t="n">
        <x:f>C54/'参数说明'!$B$7</x:f>
        <x:v>4.5</x:v>
      </x:c>
      <x:c r="G54" s="40" t="n">
        <x:f>C54-C53</x:f>
        <x:v>0</x:v>
      </x:c>
      <x:c r="H54" s="42" t="n">
        <x:f>IF(C53=0,"",C54/C53-1)</x:f>
        <x:v>0</x:v>
      </x:c>
      <x:c r="I54" s="32" t="str">
        <x:v>长期投入区</x:v>
      </x:c>
      <x:c r="J54" s="32" t="str">
        <x:f>IF(G54&lt;0,"XP 回落",IF(H54&gt;0.5,"跳变较大","平稳"))</x:f>
        <x:v>平稳</x:v>
      </x:c>
      <x:c r="K54" s="60"/>
      <x:c r="L54" s="60"/>
      <x:c r="M54" s="60"/>
      <x:c r="N54" s="60"/>
      <x:c r="O54" s="60"/>
      <x:c r="P54" s="60"/>
      <x:c r="Q54" s="60"/>
      <x:c r="R54" s="60"/>
      <x:c r="S54" s="60"/>
    </x:row>
    <x:row r="55">
      <x:c r="A55" s="32" t="n">
        <x:v>51</x:v>
      </x:c>
      <x:c r="B55" s="40" t="n">
        <x:v>3510</x:v>
      </x:c>
      <x:c r="C55" s="40" t="n">
        <x:f>'等级经验对照表'!C53</x:f>
        <x:v>135</x:v>
      </x:c>
      <x:c r="D55" s="41" t="n">
        <x:f>'等级经验对照表'!E53</x:f>
        <x:v>117</x:v>
      </x:c>
      <x:c r="E55" s="41" t="n">
        <x:f>'等级经验对照表'!F53</x:f>
        <x:v>58.5</x:v>
      </x:c>
      <x:c r="F55" s="41" t="n">
        <x:f>C55/'参数说明'!$B$7</x:f>
        <x:v>4.5</x:v>
      </x:c>
      <x:c r="G55" s="40" t="n">
        <x:f>C55-C54</x:f>
        <x:v>0</x:v>
      </x:c>
      <x:c r="H55" s="42" t="n">
        <x:f>IF(C54=0,"",C55/C54-1)</x:f>
        <x:v>0</x:v>
      </x:c>
      <x:c r="I55" s="32" t="str">
        <x:v>长期投入区</x:v>
      </x:c>
      <x:c r="J55" s="32" t="str">
        <x:f>IF(G55&lt;0,"XP 回落",IF(H55&gt;0.5,"跳变较大","平稳"))</x:f>
        <x:v>平稳</x:v>
      </x:c>
      <x:c r="K55" s="60"/>
      <x:c r="L55" s="60"/>
      <x:c r="M55" s="60"/>
      <x:c r="N55" s="60"/>
      <x:c r="O55" s="60"/>
      <x:c r="P55" s="60"/>
      <x:c r="Q55" s="60"/>
      <x:c r="R55" s="60"/>
      <x:c r="S55" s="60"/>
    </x:row>
    <x:row r="56">
      <x:c r="A56" s="32" t="n">
        <x:v>52</x:v>
      </x:c>
      <x:c r="B56" s="40" t="n">
        <x:v>3645</x:v>
      </x:c>
      <x:c r="C56" s="40" t="n">
        <x:f>'等级经验对照表'!C54</x:f>
        <x:v>135</x:v>
      </x:c>
      <x:c r="D56" s="41" t="n">
        <x:f>'等级经验对照表'!E54</x:f>
        <x:v>121.5</x:v>
      </x:c>
      <x:c r="E56" s="41" t="n">
        <x:f>'等级经验对照表'!F54</x:f>
        <x:v>60.75</x:v>
      </x:c>
      <x:c r="F56" s="41" t="n">
        <x:f>C56/'参数说明'!$B$7</x:f>
        <x:v>4.5</x:v>
      </x:c>
      <x:c r="G56" s="40" t="n">
        <x:f>C56-C55</x:f>
        <x:v>0</x:v>
      </x:c>
      <x:c r="H56" s="42" t="n">
        <x:f>IF(C55=0,"",C56/C55-1)</x:f>
        <x:v>0</x:v>
      </x:c>
      <x:c r="I56" s="32" t="str">
        <x:v>长期投入区</x:v>
      </x:c>
      <x:c r="J56" s="32" t="str">
        <x:f>IF(G56&lt;0,"XP 回落",IF(H56&gt;0.5,"跳变较大","平稳"))</x:f>
        <x:v>平稳</x:v>
      </x:c>
      <x:c r="K56" s="60"/>
      <x:c r="L56" s="60"/>
      <x:c r="M56" s="60"/>
      <x:c r="N56" s="60"/>
      <x:c r="O56" s="60"/>
      <x:c r="P56" s="60"/>
      <x:c r="Q56" s="60"/>
      <x:c r="R56" s="60"/>
      <x:c r="S56" s="60"/>
    </x:row>
    <x:row r="57">
      <x:c r="A57" s="32" t="n">
        <x:v>53</x:v>
      </x:c>
      <x:c r="B57" s="40" t="n">
        <x:v>3780</x:v>
      </x:c>
      <x:c r="C57" s="40" t="n">
        <x:f>'等级经验对照表'!C55</x:f>
        <x:v>135</x:v>
      </x:c>
      <x:c r="D57" s="41" t="n">
        <x:f>'等级经验对照表'!E55</x:f>
        <x:v>126</x:v>
      </x:c>
      <x:c r="E57" s="41" t="n">
        <x:f>'等级经验对照表'!F55</x:f>
        <x:v>63</x:v>
      </x:c>
      <x:c r="F57" s="41" t="n">
        <x:f>C57/'参数说明'!$B$7</x:f>
        <x:v>4.5</x:v>
      </x:c>
      <x:c r="G57" s="40" t="n">
        <x:f>C57-C56</x:f>
        <x:v>0</x:v>
      </x:c>
      <x:c r="H57" s="42" t="n">
        <x:f>IF(C56=0,"",C57/C56-1)</x:f>
        <x:v>0</x:v>
      </x:c>
      <x:c r="I57" s="32" t="str">
        <x:v>长期投入区</x:v>
      </x:c>
      <x:c r="J57" s="32" t="str">
        <x:f>IF(G57&lt;0,"XP 回落",IF(H57&gt;0.5,"跳变较大","平稳"))</x:f>
        <x:v>平稳</x:v>
      </x:c>
      <x:c r="K57" s="60"/>
      <x:c r="L57" s="60"/>
      <x:c r="M57" s="60"/>
      <x:c r="N57" s="60"/>
      <x:c r="O57" s="60"/>
      <x:c r="P57" s="60"/>
      <x:c r="Q57" s="60"/>
      <x:c r="R57" s="60"/>
      <x:c r="S57" s="60"/>
    </x:row>
    <x:row r="58">
      <x:c r="A58" s="32" t="n">
        <x:v>54</x:v>
      </x:c>
      <x:c r="B58" s="40" t="n">
        <x:v>3915</x:v>
      </x:c>
      <x:c r="C58" s="40" t="n">
        <x:f>'等级经验对照表'!C56</x:f>
        <x:v>135</x:v>
      </x:c>
      <x:c r="D58" s="41" t="n">
        <x:f>'等级经验对照表'!E56</x:f>
        <x:v>130.5</x:v>
      </x:c>
      <x:c r="E58" s="41" t="n">
        <x:f>'等级经验对照表'!F56</x:f>
        <x:v>65.25</x:v>
      </x:c>
      <x:c r="F58" s="41" t="n">
        <x:f>C58/'参数说明'!$B$7</x:f>
        <x:v>4.5</x:v>
      </x:c>
      <x:c r="G58" s="40" t="n">
        <x:f>C58-C57</x:f>
        <x:v>0</x:v>
      </x:c>
      <x:c r="H58" s="42" t="n">
        <x:f>IF(C57=0,"",C58/C57-1)</x:f>
        <x:v>0</x:v>
      </x:c>
      <x:c r="I58" s="32" t="str">
        <x:v>长期投入区</x:v>
      </x:c>
      <x:c r="J58" s="32" t="str">
        <x:f>IF(G58&lt;0,"XP 回落",IF(H58&gt;0.5,"跳变较大","平稳"))</x:f>
        <x:v>平稳</x:v>
      </x:c>
      <x:c r="K58" s="60"/>
      <x:c r="L58" s="60"/>
      <x:c r="M58" s="60"/>
      <x:c r="N58" s="60"/>
      <x:c r="O58" s="60"/>
      <x:c r="P58" s="60"/>
      <x:c r="Q58" s="60"/>
      <x:c r="R58" s="60"/>
      <x:c r="S58" s="60"/>
    </x:row>
    <x:row r="59">
      <x:c r="A59" s="32" t="n">
        <x:v>55</x:v>
      </x:c>
      <x:c r="B59" s="40" t="n">
        <x:v>4050</x:v>
      </x:c>
      <x:c r="C59" s="40" t="n">
        <x:f>'等级经验对照表'!C57</x:f>
        <x:v>135</x:v>
      </x:c>
      <x:c r="D59" s="41" t="n">
        <x:f>'等级经验对照表'!E57</x:f>
        <x:v>135</x:v>
      </x:c>
      <x:c r="E59" s="41" t="n">
        <x:f>'等级经验对照表'!F57</x:f>
        <x:v>67.5</x:v>
      </x:c>
      <x:c r="F59" s="41" t="n">
        <x:f>C59/'参数说明'!$B$7</x:f>
        <x:v>4.5</x:v>
      </x:c>
      <x:c r="G59" s="40" t="n">
        <x:f>C59-C58</x:f>
        <x:v>0</x:v>
      </x:c>
      <x:c r="H59" s="42" t="n">
        <x:f>IF(C58=0,"",C59/C58-1)</x:f>
        <x:v>0</x:v>
      </x:c>
      <x:c r="I59" s="32" t="str">
        <x:v>长期投入区</x:v>
      </x:c>
      <x:c r="J59" s="32" t="str">
        <x:f>IF(G59&lt;0,"XP 回落",IF(H59&gt;0.5,"跳变较大","平稳"))</x:f>
        <x:v>平稳</x:v>
      </x:c>
      <x:c r="K59" s="60"/>
      <x:c r="L59" s="60"/>
      <x:c r="M59" s="60"/>
      <x:c r="N59" s="60"/>
      <x:c r="O59" s="60"/>
      <x:c r="P59" s="60"/>
      <x:c r="Q59" s="60"/>
      <x:c r="R59" s="60"/>
      <x:c r="S59" s="60"/>
    </x:row>
    <x:row r="60">
      <x:c r="A60" s="32" t="n">
        <x:v>56</x:v>
      </x:c>
      <x:c r="B60" s="40" t="n">
        <x:v>4185</x:v>
      </x:c>
      <x:c r="C60" s="40" t="n">
        <x:f>'等级经验对照表'!C58</x:f>
        <x:v>135</x:v>
      </x:c>
      <x:c r="D60" s="41" t="n">
        <x:f>'等级经验对照表'!E58</x:f>
        <x:v>139.5</x:v>
      </x:c>
      <x:c r="E60" s="41" t="n">
        <x:f>'等级经验对照表'!F58</x:f>
        <x:v>69.75</x:v>
      </x:c>
      <x:c r="F60" s="41" t="n">
        <x:f>C60/'参数说明'!$B$7</x:f>
        <x:v>4.5</x:v>
      </x:c>
      <x:c r="G60" s="40" t="n">
        <x:f>C60-C59</x:f>
        <x:v>0</x:v>
      </x:c>
      <x:c r="H60" s="42" t="n">
        <x:f>IF(C59=0,"",C60/C59-1)</x:f>
        <x:v>0</x:v>
      </x:c>
      <x:c r="I60" s="32" t="str">
        <x:v>长期投入区</x:v>
      </x:c>
      <x:c r="J60" s="32" t="str">
        <x:f>IF(G60&lt;0,"XP 回落",IF(H60&gt;0.5,"跳变较大","平稳"))</x:f>
        <x:v>平稳</x:v>
      </x:c>
      <x:c r="K60" s="60"/>
      <x:c r="L60" s="60"/>
      <x:c r="M60" s="60"/>
      <x:c r="N60" s="60"/>
      <x:c r="O60" s="60"/>
      <x:c r="P60" s="60"/>
      <x:c r="Q60" s="60"/>
      <x:c r="R60" s="60"/>
      <x:c r="S60" s="60"/>
    </x:row>
    <x:row r="61">
      <x:c r="A61" s="32" t="n">
        <x:v>57</x:v>
      </x:c>
      <x:c r="B61" s="40" t="n">
        <x:v>4320</x:v>
      </x:c>
      <x:c r="C61" s="40" t="n">
        <x:f>'等级经验对照表'!C59</x:f>
        <x:v>135</x:v>
      </x:c>
      <x:c r="D61" s="41" t="n">
        <x:f>'等级经验对照表'!E59</x:f>
        <x:v>144</x:v>
      </x:c>
      <x:c r="E61" s="41" t="n">
        <x:f>'等级经验对照表'!F59</x:f>
        <x:v>72</x:v>
      </x:c>
      <x:c r="F61" s="41" t="n">
        <x:f>C61/'参数说明'!$B$7</x:f>
        <x:v>4.5</x:v>
      </x:c>
      <x:c r="G61" s="40" t="n">
        <x:f>C61-C60</x:f>
        <x:v>0</x:v>
      </x:c>
      <x:c r="H61" s="42" t="n">
        <x:f>IF(C60=0,"",C61/C60-1)</x:f>
        <x:v>0</x:v>
      </x:c>
      <x:c r="I61" s="32" t="str">
        <x:v>长期投入区</x:v>
      </x:c>
      <x:c r="J61" s="32" t="str">
        <x:f>IF(G61&lt;0,"XP 回落",IF(H61&gt;0.5,"跳变较大","平稳"))</x:f>
        <x:v>平稳</x:v>
      </x:c>
      <x:c r="K61" s="60"/>
      <x:c r="L61" s="60"/>
      <x:c r="M61" s="60"/>
      <x:c r="N61" s="60"/>
      <x:c r="O61" s="60"/>
      <x:c r="P61" s="60"/>
      <x:c r="Q61" s="60"/>
      <x:c r="R61" s="60"/>
      <x:c r="S61" s="60"/>
    </x:row>
    <x:row r="62">
      <x:c r="A62" s="32" t="n">
        <x:v>58</x:v>
      </x:c>
      <x:c r="B62" s="40" t="n">
        <x:v>4455</x:v>
      </x:c>
      <x:c r="C62" s="40" t="n">
        <x:f>'等级经验对照表'!C60</x:f>
        <x:v>135</x:v>
      </x:c>
      <x:c r="D62" s="41" t="n">
        <x:f>'等级经验对照表'!E60</x:f>
        <x:v>148.5</x:v>
      </x:c>
      <x:c r="E62" s="41" t="n">
        <x:f>'等级经验对照表'!F60</x:f>
        <x:v>74.25</x:v>
      </x:c>
      <x:c r="F62" s="41" t="n">
        <x:f>C62/'参数说明'!$B$7</x:f>
        <x:v>4.5</x:v>
      </x:c>
      <x:c r="G62" s="40" t="n">
        <x:f>C62-C61</x:f>
        <x:v>0</x:v>
      </x:c>
      <x:c r="H62" s="42" t="n">
        <x:f>IF(C61=0,"",C62/C61-1)</x:f>
        <x:v>0</x:v>
      </x:c>
      <x:c r="I62" s="32" t="str">
        <x:v>长期投入区</x:v>
      </x:c>
      <x:c r="J62" s="32" t="str">
        <x:f>IF(G62&lt;0,"XP 回落",IF(H62&gt;0.5,"跳变较大","平稳"))</x:f>
        <x:v>平稳</x:v>
      </x:c>
      <x:c r="K62" s="60"/>
      <x:c r="L62" s="60"/>
      <x:c r="M62" s="60"/>
      <x:c r="N62" s="60"/>
      <x:c r="O62" s="60"/>
      <x:c r="P62" s="60"/>
      <x:c r="Q62" s="60"/>
      <x:c r="R62" s="60"/>
      <x:c r="S62" s="60"/>
    </x:row>
    <x:row r="63">
      <x:c r="A63" s="32" t="n">
        <x:v>59</x:v>
      </x:c>
      <x:c r="B63" s="40" t="n">
        <x:v>4590</x:v>
      </x:c>
      <x:c r="C63" s="40" t="n">
        <x:f>'等级经验对照表'!C61</x:f>
        <x:v>135</x:v>
      </x:c>
      <x:c r="D63" s="41" t="n">
        <x:f>'等级经验对照表'!E61</x:f>
        <x:v>153</x:v>
      </x:c>
      <x:c r="E63" s="41" t="n">
        <x:f>'等级经验对照表'!F61</x:f>
        <x:v>76.5</x:v>
      </x:c>
      <x:c r="F63" s="41" t="n">
        <x:f>C63/'参数说明'!$B$7</x:f>
        <x:v>4.5</x:v>
      </x:c>
      <x:c r="G63" s="40" t="n">
        <x:f>C63-C62</x:f>
        <x:v>0</x:v>
      </x:c>
      <x:c r="H63" s="42" t="n">
        <x:f>IF(C62=0,"",C63/C62-1)</x:f>
        <x:v>0</x:v>
      </x:c>
      <x:c r="I63" s="32" t="str">
        <x:v>长期投入区</x:v>
      </x:c>
      <x:c r="J63" s="32" t="str">
        <x:f>IF(G63&lt;0,"XP 回落",IF(H63&gt;0.5,"跳变较大","平稳"))</x:f>
        <x:v>平稳</x:v>
      </x:c>
      <x:c r="K63" s="60"/>
      <x:c r="L63" s="60"/>
      <x:c r="M63" s="60"/>
      <x:c r="N63" s="60"/>
      <x:c r="O63" s="60"/>
      <x:c r="P63" s="60"/>
      <x:c r="Q63" s="60"/>
      <x:c r="R63" s="60"/>
      <x:c r="S63" s="60"/>
    </x:row>
    <x:row r="64">
      <x:c r="A64" s="32" t="n">
        <x:v>60</x:v>
      </x:c>
      <x:c r="B64" s="40" t="n">
        <x:v>4725</x:v>
      </x:c>
      <x:c r="C64" s="40" t="n">
        <x:f>'等级经验对照表'!C62</x:f>
        <x:v>135</x:v>
      </x:c>
      <x:c r="D64" s="41" t="n">
        <x:f>'等级经验对照表'!E62</x:f>
        <x:v>157.5</x:v>
      </x:c>
      <x:c r="E64" s="41" t="n">
        <x:f>'等级经验对照表'!F62</x:f>
        <x:v>78.75</x:v>
      </x:c>
      <x:c r="F64" s="41" t="n">
        <x:f>C64/'参数说明'!$B$7</x:f>
        <x:v>4.5</x:v>
      </x:c>
      <x:c r="G64" s="40" t="n">
        <x:f>C64-C63</x:f>
        <x:v>0</x:v>
      </x:c>
      <x:c r="H64" s="42" t="n">
        <x:f>IF(C63=0,"",C64/C63-1)</x:f>
        <x:v>0</x:v>
      </x:c>
      <x:c r="I64" s="32" t="str">
        <x:v>长期投入区</x:v>
      </x:c>
      <x:c r="J64" s="32" t="str">
        <x:f>IF(G64&lt;0,"XP 回落",IF(H64&gt;0.5,"跳变较大","平稳"))</x:f>
        <x:v>平稳</x:v>
      </x:c>
      <x:c r="K64" s="60"/>
      <x:c r="L64" s="60"/>
      <x:c r="M64" s="60"/>
      <x:c r="N64" s="60"/>
      <x:c r="O64" s="60"/>
      <x:c r="P64" s="60"/>
      <x:c r="Q64" s="60"/>
      <x:c r="R64" s="60"/>
      <x:c r="S64" s="60"/>
    </x:row>
    <x:row r="65">
      <x:c r="A65" s="32" t="n">
        <x:v>61</x:v>
      </x:c>
      <x:c r="B65" s="40" t="n">
        <x:v>4860</x:v>
      </x:c>
      <x:c r="C65" s="40" t="n">
        <x:f>'等级经验对照表'!C63</x:f>
        <x:v>135</x:v>
      </x:c>
      <x:c r="D65" s="41" t="n">
        <x:f>'等级经验对照表'!E63</x:f>
        <x:v>162</x:v>
      </x:c>
      <x:c r="E65" s="41" t="n">
        <x:f>'等级经验对照表'!F63</x:f>
        <x:v>81</x:v>
      </x:c>
      <x:c r="F65" s="41" t="n">
        <x:f>C65/'参数说明'!$B$7</x:f>
        <x:v>4.5</x:v>
      </x:c>
      <x:c r="G65" s="40" t="n">
        <x:f>C65-C64</x:f>
        <x:v>0</x:v>
      </x:c>
      <x:c r="H65" s="42" t="n">
        <x:f>IF(C64=0,"",C65/C64-1)</x:f>
        <x:v>0</x:v>
      </x:c>
      <x:c r="I65" s="32" t="str">
        <x:v>长期投入区</x:v>
      </x:c>
      <x:c r="J65" s="32" t="str">
        <x:f>IF(G65&lt;0,"XP 回落",IF(H65&gt;0.5,"跳变较大","平稳"))</x:f>
        <x:v>平稳</x:v>
      </x:c>
      <x:c r="K65" s="60"/>
      <x:c r="L65" s="60"/>
      <x:c r="M65" s="60"/>
      <x:c r="N65" s="60"/>
      <x:c r="O65" s="60"/>
      <x:c r="P65" s="60"/>
      <x:c r="Q65" s="60"/>
      <x:c r="R65" s="60"/>
      <x:c r="S65" s="60"/>
    </x:row>
    <x:row r="66">
      <x:c r="A66" s="32" t="n">
        <x:v>62</x:v>
      </x:c>
      <x:c r="B66" s="40" t="n">
        <x:v>4995</x:v>
      </x:c>
      <x:c r="C66" s="40" t="n">
        <x:f>'等级经验对照表'!C64</x:f>
        <x:v>135</x:v>
      </x:c>
      <x:c r="D66" s="41" t="n">
        <x:f>'等级经验对照表'!E64</x:f>
        <x:v>166.5</x:v>
      </x:c>
      <x:c r="E66" s="41" t="n">
        <x:f>'等级经验对照表'!F64</x:f>
        <x:v>83.25</x:v>
      </x:c>
      <x:c r="F66" s="41" t="n">
        <x:f>C66/'参数说明'!$B$7</x:f>
        <x:v>4.5</x:v>
      </x:c>
      <x:c r="G66" s="40" t="n">
        <x:f>C66-C65</x:f>
        <x:v>0</x:v>
      </x:c>
      <x:c r="H66" s="42" t="n">
        <x:f>IF(C65=0,"",C66/C65-1)</x:f>
        <x:v>0</x:v>
      </x:c>
      <x:c r="I66" s="32" t="str">
        <x:v>长期投入区</x:v>
      </x:c>
      <x:c r="J66" s="32" t="str">
        <x:f>IF(G66&lt;0,"XP 回落",IF(H66&gt;0.5,"跳变较大","平稳"))</x:f>
        <x:v>平稳</x:v>
      </x:c>
      <x:c r="K66" s="60"/>
      <x:c r="L66" s="60"/>
      <x:c r="M66" s="60"/>
      <x:c r="N66" s="60"/>
      <x:c r="O66" s="60"/>
      <x:c r="P66" s="60"/>
      <x:c r="Q66" s="60"/>
      <x:c r="R66" s="60"/>
      <x:c r="S66" s="60"/>
    </x:row>
    <x:row r="67">
      <x:c r="A67" s="32" t="n">
        <x:v>63</x:v>
      </x:c>
      <x:c r="B67" s="40" t="n">
        <x:v>5130</x:v>
      </x:c>
      <x:c r="C67" s="40" t="n">
        <x:f>'等级经验对照表'!C65</x:f>
        <x:v>135</x:v>
      </x:c>
      <x:c r="D67" s="41" t="n">
        <x:f>'等级经验对照表'!E65</x:f>
        <x:v>171</x:v>
      </x:c>
      <x:c r="E67" s="41" t="n">
        <x:f>'等级经验对照表'!F65</x:f>
        <x:v>85.5</x:v>
      </x:c>
      <x:c r="F67" s="41" t="n">
        <x:f>C67/'参数说明'!$B$7</x:f>
        <x:v>4.5</x:v>
      </x:c>
      <x:c r="G67" s="40" t="n">
        <x:f>C67-C66</x:f>
        <x:v>0</x:v>
      </x:c>
      <x:c r="H67" s="42" t="n">
        <x:f>IF(C66=0,"",C67/C66-1)</x:f>
        <x:v>0</x:v>
      </x:c>
      <x:c r="I67" s="32" t="str">
        <x:v>长期投入区</x:v>
      </x:c>
      <x:c r="J67" s="32" t="str">
        <x:f>IF(G67&lt;0,"XP 回落",IF(H67&gt;0.5,"跳变较大","平稳"))</x:f>
        <x:v>平稳</x:v>
      </x:c>
      <x:c r="K67" s="60"/>
      <x:c r="L67" s="60"/>
      <x:c r="M67" s="60"/>
      <x:c r="N67" s="60"/>
      <x:c r="O67" s="60"/>
      <x:c r="P67" s="60"/>
      <x:c r="Q67" s="60"/>
      <x:c r="R67" s="60"/>
      <x:c r="S67" s="60"/>
    </x:row>
    <x:row r="68">
      <x:c r="A68" s="32" t="n">
        <x:v>64</x:v>
      </x:c>
      <x:c r="B68" s="40" t="n">
        <x:v>5265</x:v>
      </x:c>
      <x:c r="C68" s="40" t="n">
        <x:f>'等级经验对照表'!C66</x:f>
        <x:v>135</x:v>
      </x:c>
      <x:c r="D68" s="41" t="n">
        <x:f>'等级经验对照表'!E66</x:f>
        <x:v>175.5</x:v>
      </x:c>
      <x:c r="E68" s="41" t="n">
        <x:f>'等级经验对照表'!F66</x:f>
        <x:v>87.75</x:v>
      </x:c>
      <x:c r="F68" s="41" t="n">
        <x:f>C68/'参数说明'!$B$7</x:f>
        <x:v>4.5</x:v>
      </x:c>
      <x:c r="G68" s="40" t="n">
        <x:f>C68-C67</x:f>
        <x:v>0</x:v>
      </x:c>
      <x:c r="H68" s="42" t="n">
        <x:f>IF(C67=0,"",C68/C67-1)</x:f>
        <x:v>0</x:v>
      </x:c>
      <x:c r="I68" s="32" t="str">
        <x:v>长期投入区</x:v>
      </x:c>
      <x:c r="J68" s="32" t="str">
        <x:f>IF(G68&lt;0,"XP 回落",IF(H68&gt;0.5,"跳变较大","平稳"))</x:f>
        <x:v>平稳</x:v>
      </x:c>
      <x:c r="K68" s="60"/>
      <x:c r="L68" s="60"/>
      <x:c r="M68" s="60"/>
      <x:c r="N68" s="60"/>
      <x:c r="O68" s="60"/>
      <x:c r="P68" s="60"/>
      <x:c r="Q68" s="60"/>
      <x:c r="R68" s="60"/>
      <x:c r="S68" s="60"/>
    </x:row>
    <x:row r="69">
      <x:c r="A69" s="32" t="n">
        <x:v>65</x:v>
      </x:c>
      <x:c r="B69" s="40" t="n">
        <x:v>5400</x:v>
      </x:c>
      <x:c r="C69" s="40" t="n">
        <x:f>'等级经验对照表'!C67</x:f>
        <x:v>160</x:v>
      </x:c>
      <x:c r="D69" s="41" t="n">
        <x:f>'等级经验对照表'!E67</x:f>
        <x:v>180</x:v>
      </x:c>
      <x:c r="E69" s="41" t="n">
        <x:f>'等级经验对照表'!F67</x:f>
        <x:v>90</x:v>
      </x:c>
      <x:c r="F69" s="41" t="n">
        <x:f>C69/'参数说明'!$B$7</x:f>
        <x:v>5.333333333333333</x:v>
      </x:c>
      <x:c r="G69" s="40" t="n">
        <x:f>C69-C68</x:f>
        <x:v>25</x:v>
      </x:c>
      <x:c r="H69" s="42" t="n">
        <x:f>IF(C68=0,"",C69/C68-1)</x:f>
        <x:v>0.18518518518518512</x:v>
      </x:c>
      <x:c r="I69" s="32" t="str">
        <x:v>长期投入区</x:v>
      </x:c>
      <x:c r="J69" s="32" t="str">
        <x:f>IF(G69&lt;0,"XP 回落",IF(H69&gt;0.5,"跳变较大","平稳"))</x:f>
        <x:v>平稳</x:v>
      </x:c>
      <x:c r="K69" s="60"/>
      <x:c r="L69" s="60"/>
      <x:c r="M69" s="60"/>
      <x:c r="N69" s="60"/>
      <x:c r="O69" s="60"/>
      <x:c r="P69" s="60"/>
      <x:c r="Q69" s="60"/>
      <x:c r="R69" s="60"/>
      <x:c r="S69" s="60"/>
    </x:row>
    <x:row r="70">
      <x:c r="A70" s="32" t="n">
        <x:v>66</x:v>
      </x:c>
      <x:c r="B70" s="40" t="n">
        <x:v>5560</x:v>
      </x:c>
      <x:c r="C70" s="40" t="n">
        <x:f>'等级经验对照表'!C68</x:f>
        <x:v>155</x:v>
      </x:c>
      <x:c r="D70" s="41" t="n">
        <x:f>'等级经验对照表'!E68</x:f>
        <x:v>185.33333333333334</x:v>
      </x:c>
      <x:c r="E70" s="41" t="n">
        <x:f>'等级经验对照表'!F68</x:f>
        <x:v>92.66666666666667</x:v>
      </x:c>
      <x:c r="F70" s="41" t="n">
        <x:f>C70/'参数说明'!$B$7</x:f>
        <x:v>5.166666666666667</x:v>
      </x:c>
      <x:c r="G70" s="40" t="n">
        <x:f>C70-C69</x:f>
        <x:v>-5</x:v>
      </x:c>
      <x:c r="H70" s="42" t="n">
        <x:f>IF(C69=0,"",C70/C69-1)</x:f>
        <x:v>-0.03125</x:v>
      </x:c>
      <x:c r="I70" s="32" t="str">
        <x:v>长期身份区</x:v>
      </x:c>
      <x:c r="J70" s="32" t="str">
        <x:f>IF(G70&lt;0,"XP 回落",IF(H70&gt;0.5,"跳变较大","平稳"))</x:f>
        <x:v>XP 回落</x:v>
      </x:c>
      <x:c r="K70" s="60"/>
      <x:c r="L70" s="60"/>
      <x:c r="M70" s="60"/>
      <x:c r="N70" s="60"/>
      <x:c r="O70" s="60"/>
      <x:c r="P70" s="60"/>
      <x:c r="Q70" s="60"/>
      <x:c r="R70" s="60"/>
      <x:c r="S70" s="60"/>
    </x:row>
    <x:row r="71">
      <x:c r="A71" s="32" t="n">
        <x:v>67</x:v>
      </x:c>
      <x:c r="B71" s="40" t="n">
        <x:v>5715</x:v>
      </x:c>
      <x:c r="C71" s="40" t="n">
        <x:f>'等级经验对照表'!C69</x:f>
        <x:v>160</x:v>
      </x:c>
      <x:c r="D71" s="41" t="n">
        <x:f>'等级经验对照表'!E69</x:f>
        <x:v>190.5</x:v>
      </x:c>
      <x:c r="E71" s="41" t="n">
        <x:f>'等级经验对照表'!F69</x:f>
        <x:v>95.25</x:v>
      </x:c>
      <x:c r="F71" s="41" t="n">
        <x:f>C71/'参数说明'!$B$7</x:f>
        <x:v>5.333333333333333</x:v>
      </x:c>
      <x:c r="G71" s="40" t="n">
        <x:f>C71-C70</x:f>
        <x:v>5</x:v>
      </x:c>
      <x:c r="H71" s="42" t="n">
        <x:f>IF(C70=0,"",C71/C70-1)</x:f>
        <x:v>0.032258064516129004</x:v>
      </x:c>
      <x:c r="I71" s="32" t="str">
        <x:v>长期身份区</x:v>
      </x:c>
      <x:c r="J71" s="32" t="str">
        <x:f>IF(G71&lt;0,"XP 回落",IF(H71&gt;0.5,"跳变较大","平稳"))</x:f>
        <x:v>平稳</x:v>
      </x:c>
      <x:c r="K71" s="60"/>
      <x:c r="L71" s="60"/>
      <x:c r="M71" s="60"/>
      <x:c r="N71" s="60"/>
      <x:c r="O71" s="60"/>
      <x:c r="P71" s="60"/>
      <x:c r="Q71" s="60"/>
      <x:c r="R71" s="60"/>
      <x:c r="S71" s="60"/>
    </x:row>
    <x:row r="72">
      <x:c r="A72" s="32" t="n">
        <x:v>68</x:v>
      </x:c>
      <x:c r="B72" s="40" t="n">
        <x:v>5875</x:v>
      </x:c>
      <x:c r="C72" s="40" t="n">
        <x:f>'等级经验对照表'!C70</x:f>
        <x:v>160</x:v>
      </x:c>
      <x:c r="D72" s="41" t="n">
        <x:f>'等级经验对照表'!E70</x:f>
        <x:v>195.83333333333334</x:v>
      </x:c>
      <x:c r="E72" s="41" t="n">
        <x:f>'等级经验对照表'!F70</x:f>
        <x:v>97.91666666666667</x:v>
      </x:c>
      <x:c r="F72" s="41" t="n">
        <x:f>C72/'参数说明'!$B$7</x:f>
        <x:v>5.333333333333333</x:v>
      </x:c>
      <x:c r="G72" s="40" t="n">
        <x:f>C72-C71</x:f>
        <x:v>0</x:v>
      </x:c>
      <x:c r="H72" s="42" t="n">
        <x:f>IF(C71=0,"",C72/C71-1)</x:f>
        <x:v>0</x:v>
      </x:c>
      <x:c r="I72" s="32" t="str">
        <x:v>长期身份区</x:v>
      </x:c>
      <x:c r="J72" s="32" t="str">
        <x:f>IF(G72&lt;0,"XP 回落",IF(H72&gt;0.5,"跳变较大","平稳"))</x:f>
        <x:v>平稳</x:v>
      </x:c>
      <x:c r="K72" s="60"/>
      <x:c r="L72" s="60"/>
      <x:c r="M72" s="60"/>
      <x:c r="N72" s="60"/>
      <x:c r="O72" s="60"/>
      <x:c r="P72" s="60"/>
      <x:c r="Q72" s="60"/>
      <x:c r="R72" s="60"/>
      <x:c r="S72" s="60"/>
    </x:row>
    <x:row r="73">
      <x:c r="A73" s="32" t="n">
        <x:v>69</x:v>
      </x:c>
      <x:c r="B73" s="40" t="n">
        <x:v>6035</x:v>
      </x:c>
      <x:c r="C73" s="40" t="n">
        <x:f>'等级经验对照表'!C71</x:f>
        <x:v>160</x:v>
      </x:c>
      <x:c r="D73" s="41" t="n">
        <x:f>'等级经验对照表'!E71</x:f>
        <x:v>201.16666666666666</x:v>
      </x:c>
      <x:c r="E73" s="41" t="n">
        <x:f>'等级经验对照表'!F71</x:f>
        <x:v>100.58333333333333</x:v>
      </x:c>
      <x:c r="F73" s="41" t="n">
        <x:f>C73/'参数说明'!$B$7</x:f>
        <x:v>5.333333333333333</x:v>
      </x:c>
      <x:c r="G73" s="40" t="n">
        <x:f>C73-C72</x:f>
        <x:v>0</x:v>
      </x:c>
      <x:c r="H73" s="42" t="n">
        <x:f>IF(C72=0,"",C73/C72-1)</x:f>
        <x:v>0</x:v>
      </x:c>
      <x:c r="I73" s="32" t="str">
        <x:v>长期身份区</x:v>
      </x:c>
      <x:c r="J73" s="32" t="str">
        <x:f>IF(G73&lt;0,"XP 回落",IF(H73&gt;0.5,"跳变较大","平稳"))</x:f>
        <x:v>平稳</x:v>
      </x:c>
      <x:c r="K73" s="60"/>
      <x:c r="L73" s="60"/>
      <x:c r="M73" s="60"/>
      <x:c r="N73" s="60"/>
      <x:c r="O73" s="60"/>
      <x:c r="P73" s="60"/>
      <x:c r="Q73" s="60"/>
      <x:c r="R73" s="60"/>
      <x:c r="S73" s="60"/>
    </x:row>
    <x:row r="74">
      <x:c r="A74" s="32" t="n">
        <x:v>70</x:v>
      </x:c>
      <x:c r="B74" s="40" t="n">
        <x:v>6195</x:v>
      </x:c>
      <x:c r="C74" s="40" t="n">
        <x:f>'等级经验对照表'!C72</x:f>
        <x:v>155</x:v>
      </x:c>
      <x:c r="D74" s="41" t="n">
        <x:f>'等级经验对照表'!E72</x:f>
        <x:v>206.5</x:v>
      </x:c>
      <x:c r="E74" s="41" t="n">
        <x:f>'等级经验对照表'!F72</x:f>
        <x:v>103.25</x:v>
      </x:c>
      <x:c r="F74" s="41" t="n">
        <x:f>C74/'参数说明'!$B$7</x:f>
        <x:v>5.166666666666667</x:v>
      </x:c>
      <x:c r="G74" s="40" t="n">
        <x:f>C74-C73</x:f>
        <x:v>-5</x:v>
      </x:c>
      <x:c r="H74" s="42" t="n">
        <x:f>IF(C73=0,"",C74/C73-1)</x:f>
        <x:v>-0.03125</x:v>
      </x:c>
      <x:c r="I74" s="32" t="str">
        <x:v>长期身份区</x:v>
      </x:c>
      <x:c r="J74" s="32" t="str">
        <x:f>IF(G74&lt;0,"XP 回落",IF(H74&gt;0.5,"跳变较大","平稳"))</x:f>
        <x:v>XP 回落</x:v>
      </x:c>
      <x:c r="K74" s="60"/>
      <x:c r="L74" s="60"/>
      <x:c r="M74" s="60"/>
      <x:c r="N74" s="60"/>
      <x:c r="O74" s="60"/>
      <x:c r="P74" s="60"/>
      <x:c r="Q74" s="60"/>
      <x:c r="R74" s="60"/>
      <x:c r="S74" s="60"/>
    </x:row>
    <x:row r="75">
      <x:c r="A75" s="32" t="n">
        <x:v>71</x:v>
      </x:c>
      <x:c r="B75" s="40" t="n">
        <x:v>6350</x:v>
      </x:c>
      <x:c r="C75" s="40" t="n">
        <x:f>'等级经验对照表'!C73</x:f>
        <x:v>160</x:v>
      </x:c>
      <x:c r="D75" s="41" t="n">
        <x:f>'等级经验对照表'!E73</x:f>
        <x:v>211.66666666666666</x:v>
      </x:c>
      <x:c r="E75" s="41" t="n">
        <x:f>'等级经验对照表'!F73</x:f>
        <x:v>105.83333333333333</x:v>
      </x:c>
      <x:c r="F75" s="41" t="n">
        <x:f>C75/'参数说明'!$B$7</x:f>
        <x:v>5.333333333333333</x:v>
      </x:c>
      <x:c r="G75" s="40" t="n">
        <x:f>C75-C74</x:f>
        <x:v>5</x:v>
      </x:c>
      <x:c r="H75" s="42" t="n">
        <x:f>IF(C74=0,"",C75/C74-1)</x:f>
        <x:v>0.032258064516129004</x:v>
      </x:c>
      <x:c r="I75" s="32" t="str">
        <x:v>长期身份区</x:v>
      </x:c>
      <x:c r="J75" s="32" t="str">
        <x:f>IF(G75&lt;0,"XP 回落",IF(H75&gt;0.5,"跳变较大","平稳"))</x:f>
        <x:v>平稳</x:v>
      </x:c>
      <x:c r="K75" s="60"/>
      <x:c r="L75" s="60"/>
      <x:c r="M75" s="60"/>
      <x:c r="N75" s="60"/>
      <x:c r="O75" s="60"/>
      <x:c r="P75" s="60"/>
      <x:c r="Q75" s="60"/>
      <x:c r="R75" s="60"/>
      <x:c r="S75" s="60"/>
    </x:row>
    <x:row r="76">
      <x:c r="A76" s="32" t="n">
        <x:v>72</x:v>
      </x:c>
      <x:c r="B76" s="40" t="n">
        <x:v>6510</x:v>
      </x:c>
      <x:c r="C76" s="40" t="n">
        <x:f>'等级经验对照表'!C74</x:f>
        <x:v>160</x:v>
      </x:c>
      <x:c r="D76" s="41" t="n">
        <x:f>'等级经验对照表'!E74</x:f>
        <x:v>217</x:v>
      </x:c>
      <x:c r="E76" s="41" t="n">
        <x:f>'等级经验对照表'!F74</x:f>
        <x:v>108.5</x:v>
      </x:c>
      <x:c r="F76" s="41" t="n">
        <x:f>C76/'参数说明'!$B$7</x:f>
        <x:v>5.333333333333333</x:v>
      </x:c>
      <x:c r="G76" s="40" t="n">
        <x:f>C76-C75</x:f>
        <x:v>0</x:v>
      </x:c>
      <x:c r="H76" s="42" t="n">
        <x:f>IF(C75=0,"",C76/C75-1)</x:f>
        <x:v>0</x:v>
      </x:c>
      <x:c r="I76" s="32" t="str">
        <x:v>长期身份区</x:v>
      </x:c>
      <x:c r="J76" s="32" t="str">
        <x:f>IF(G76&lt;0,"XP 回落",IF(H76&gt;0.5,"跳变较大","平稳"))</x:f>
        <x:v>平稳</x:v>
      </x:c>
      <x:c r="K76" s="60"/>
      <x:c r="L76" s="60"/>
      <x:c r="M76" s="60"/>
      <x:c r="N76" s="60"/>
      <x:c r="O76" s="60"/>
      <x:c r="P76" s="60"/>
      <x:c r="Q76" s="60"/>
      <x:c r="R76" s="60"/>
      <x:c r="S76" s="60"/>
    </x:row>
    <x:row r="77">
      <x:c r="A77" s="32" t="n">
        <x:v>73</x:v>
      </x:c>
      <x:c r="B77" s="40" t="n">
        <x:v>6670</x:v>
      </x:c>
      <x:c r="C77" s="40" t="n">
        <x:f>'等级经验对照表'!C75</x:f>
        <x:v>155</x:v>
      </x:c>
      <x:c r="D77" s="41" t="n">
        <x:f>'等级经验对照表'!E75</x:f>
        <x:v>222.33333333333334</x:v>
      </x:c>
      <x:c r="E77" s="41" t="n">
        <x:f>'等级经验对照表'!F75</x:f>
        <x:v>111.16666666666667</x:v>
      </x:c>
      <x:c r="F77" s="41" t="n">
        <x:f>C77/'参数说明'!$B$7</x:f>
        <x:v>5.166666666666667</x:v>
      </x:c>
      <x:c r="G77" s="40" t="n">
        <x:f>C77-C76</x:f>
        <x:v>-5</x:v>
      </x:c>
      <x:c r="H77" s="42" t="n">
        <x:f>IF(C76=0,"",C77/C76-1)</x:f>
        <x:v>-0.03125</x:v>
      </x:c>
      <x:c r="I77" s="32" t="str">
        <x:v>长期身份区</x:v>
      </x:c>
      <x:c r="J77" s="32" t="str">
        <x:f>IF(G77&lt;0,"XP 回落",IF(H77&gt;0.5,"跳变较大","平稳"))</x:f>
        <x:v>XP 回落</x:v>
      </x:c>
      <x:c r="K77" s="60"/>
      <x:c r="L77" s="60"/>
      <x:c r="M77" s="60"/>
      <x:c r="N77" s="60"/>
      <x:c r="O77" s="60"/>
      <x:c r="P77" s="60"/>
      <x:c r="Q77" s="60"/>
      <x:c r="R77" s="60"/>
      <x:c r="S77" s="60"/>
    </x:row>
    <x:row r="78">
      <x:c r="A78" s="32" t="n">
        <x:v>74</x:v>
      </x:c>
      <x:c r="B78" s="40" t="n">
        <x:v>6825</x:v>
      </x:c>
      <x:c r="C78" s="40" t="n">
        <x:f>'等级经验对照表'!C76</x:f>
        <x:v>160</x:v>
      </x:c>
      <x:c r="D78" s="41" t="n">
        <x:f>'等级经验对照表'!E76</x:f>
        <x:v>227.5</x:v>
      </x:c>
      <x:c r="E78" s="41" t="n">
        <x:f>'等级经验对照表'!F76</x:f>
        <x:v>113.75</x:v>
      </x:c>
      <x:c r="F78" s="41" t="n">
        <x:f>C78/'参数说明'!$B$7</x:f>
        <x:v>5.333333333333333</x:v>
      </x:c>
      <x:c r="G78" s="40" t="n">
        <x:f>C78-C77</x:f>
        <x:v>5</x:v>
      </x:c>
      <x:c r="H78" s="42" t="n">
        <x:f>IF(C77=0,"",C78/C77-1)</x:f>
        <x:v>0.032258064516129004</x:v>
      </x:c>
      <x:c r="I78" s="32" t="str">
        <x:v>长期身份区</x:v>
      </x:c>
      <x:c r="J78" s="32" t="str">
        <x:f>IF(G78&lt;0,"XP 回落",IF(H78&gt;0.5,"跳变较大","平稳"))</x:f>
        <x:v>平稳</x:v>
      </x:c>
      <x:c r="K78" s="60"/>
      <x:c r="L78" s="60"/>
      <x:c r="M78" s="60"/>
      <x:c r="N78" s="60"/>
      <x:c r="O78" s="60"/>
      <x:c r="P78" s="60"/>
      <x:c r="Q78" s="60"/>
      <x:c r="R78" s="60"/>
      <x:c r="S78" s="60"/>
    </x:row>
    <x:row r="79">
      <x:c r="A79" s="32" t="n">
        <x:v>75</x:v>
      </x:c>
      <x:c r="B79" s="40" t="n">
        <x:v>6985</x:v>
      </x:c>
      <x:c r="C79" s="40" t="n">
        <x:f>'等级经验对照表'!C77</x:f>
        <x:v>160</x:v>
      </x:c>
      <x:c r="D79" s="41" t="n">
        <x:f>'等级经验对照表'!E77</x:f>
        <x:v>232.83333333333334</x:v>
      </x:c>
      <x:c r="E79" s="41" t="n">
        <x:f>'等级经验对照表'!F77</x:f>
        <x:v>116.41666666666667</x:v>
      </x:c>
      <x:c r="F79" s="41" t="n">
        <x:f>C79/'参数说明'!$B$7</x:f>
        <x:v>5.333333333333333</x:v>
      </x:c>
      <x:c r="G79" s="40" t="n">
        <x:f>C79-C78</x:f>
        <x:v>0</x:v>
      </x:c>
      <x:c r="H79" s="42" t="n">
        <x:f>IF(C78=0,"",C79/C78-1)</x:f>
        <x:v>0</x:v>
      </x:c>
      <x:c r="I79" s="32" t="str">
        <x:v>长期身份区</x:v>
      </x:c>
      <x:c r="J79" s="32" t="str">
        <x:f>IF(G79&lt;0,"XP 回落",IF(H79&gt;0.5,"跳变较大","平稳"))</x:f>
        <x:v>平稳</x:v>
      </x:c>
      <x:c r="K79" s="60"/>
      <x:c r="L79" s="60"/>
      <x:c r="M79" s="60"/>
      <x:c r="N79" s="60"/>
      <x:c r="O79" s="60"/>
      <x:c r="P79" s="60"/>
      <x:c r="Q79" s="60"/>
      <x:c r="R79" s="60"/>
      <x:c r="S79" s="60"/>
    </x:row>
    <x:row r="80">
      <x:c r="A80" s="32" t="n">
        <x:v>76</x:v>
      </x:c>
      <x:c r="B80" s="40" t="n">
        <x:v>7145</x:v>
      </x:c>
      <x:c r="C80" s="40" t="n">
        <x:f>'等级经验对照表'!C78</x:f>
        <x:v>160</x:v>
      </x:c>
      <x:c r="D80" s="41" t="n">
        <x:f>'等级经验对照表'!E78</x:f>
        <x:v>238.16666666666666</x:v>
      </x:c>
      <x:c r="E80" s="41" t="n">
        <x:f>'等级经验对照表'!F78</x:f>
        <x:v>119.08333333333333</x:v>
      </x:c>
      <x:c r="F80" s="41" t="n">
        <x:f>C80/'参数说明'!$B$7</x:f>
        <x:v>5.333333333333333</x:v>
      </x:c>
      <x:c r="G80" s="40" t="n">
        <x:f>C80-C79</x:f>
        <x:v>0</x:v>
      </x:c>
      <x:c r="H80" s="42" t="n">
        <x:f>IF(C79=0,"",C80/C79-1)</x:f>
        <x:v>0</x:v>
      </x:c>
      <x:c r="I80" s="32" t="str">
        <x:v>长期身份区</x:v>
      </x:c>
      <x:c r="J80" s="32" t="str">
        <x:f>IF(G80&lt;0,"XP 回落",IF(H80&gt;0.5,"跳变较大","平稳"))</x:f>
        <x:v>平稳</x:v>
      </x:c>
      <x:c r="K80" s="60"/>
      <x:c r="L80" s="60"/>
      <x:c r="M80" s="60"/>
      <x:c r="N80" s="60"/>
      <x:c r="O80" s="60"/>
      <x:c r="P80" s="60"/>
      <x:c r="Q80" s="60"/>
      <x:c r="R80" s="60"/>
      <x:c r="S80" s="60"/>
    </x:row>
    <x:row r="81">
      <x:c r="A81" s="32" t="n">
        <x:v>77</x:v>
      </x:c>
      <x:c r="B81" s="40" t="n">
        <x:v>7305</x:v>
      </x:c>
      <x:c r="C81" s="40" t="n">
        <x:f>'等级经验对照表'!C79</x:f>
        <x:v>155</x:v>
      </x:c>
      <x:c r="D81" s="41" t="n">
        <x:f>'等级经验对照表'!E79</x:f>
        <x:v>243.5</x:v>
      </x:c>
      <x:c r="E81" s="41" t="n">
        <x:f>'等级经验对照表'!F79</x:f>
        <x:v>121.75</x:v>
      </x:c>
      <x:c r="F81" s="41" t="n">
        <x:f>C81/'参数说明'!$B$7</x:f>
        <x:v>5.166666666666667</x:v>
      </x:c>
      <x:c r="G81" s="40" t="n">
        <x:f>C81-C80</x:f>
        <x:v>-5</x:v>
      </x:c>
      <x:c r="H81" s="42" t="n">
        <x:f>IF(C80=0,"",C81/C80-1)</x:f>
        <x:v>-0.03125</x:v>
      </x:c>
      <x:c r="I81" s="32" t="str">
        <x:v>长期身份区</x:v>
      </x:c>
      <x:c r="J81" s="32" t="str">
        <x:f>IF(G81&lt;0,"XP 回落",IF(H81&gt;0.5,"跳变较大","平稳"))</x:f>
        <x:v>XP 回落</x:v>
      </x:c>
      <x:c r="K81" s="60"/>
      <x:c r="L81" s="60"/>
      <x:c r="M81" s="60"/>
      <x:c r="N81" s="60"/>
      <x:c r="O81" s="60"/>
      <x:c r="P81" s="60"/>
      <x:c r="Q81" s="60"/>
      <x:c r="R81" s="60"/>
      <x:c r="S81" s="60"/>
    </x:row>
    <x:row r="82">
      <x:c r="A82" s="32" t="n">
        <x:v>78</x:v>
      </x:c>
      <x:c r="B82" s="40" t="n">
        <x:v>7460</x:v>
      </x:c>
      <x:c r="C82" s="40" t="n">
        <x:f>'等级经验对照表'!C80</x:f>
        <x:v>160</x:v>
      </x:c>
      <x:c r="D82" s="41" t="n">
        <x:f>'等级经验对照表'!E80</x:f>
        <x:v>248.66666666666666</x:v>
      </x:c>
      <x:c r="E82" s="41" t="n">
        <x:f>'等级经验对照表'!F80</x:f>
        <x:v>124.33333333333333</x:v>
      </x:c>
      <x:c r="F82" s="41" t="n">
        <x:f>C82/'参数说明'!$B$7</x:f>
        <x:v>5.333333333333333</x:v>
      </x:c>
      <x:c r="G82" s="40" t="n">
        <x:f>C82-C81</x:f>
        <x:v>5</x:v>
      </x:c>
      <x:c r="H82" s="42" t="n">
        <x:f>IF(C81=0,"",C82/C81-1)</x:f>
        <x:v>0.032258064516129004</x:v>
      </x:c>
      <x:c r="I82" s="32" t="str">
        <x:v>长期身份区</x:v>
      </x:c>
      <x:c r="J82" s="32" t="str">
        <x:f>IF(G82&lt;0,"XP 回落",IF(H82&gt;0.5,"跳变较大","平稳"))</x:f>
        <x:v>平稳</x:v>
      </x:c>
      <x:c r="K82" s="60"/>
      <x:c r="L82" s="60"/>
      <x:c r="M82" s="60"/>
      <x:c r="N82" s="60"/>
      <x:c r="O82" s="60"/>
      <x:c r="P82" s="60"/>
      <x:c r="Q82" s="60"/>
      <x:c r="R82" s="60"/>
      <x:c r="S82" s="60"/>
    </x:row>
    <x:row r="83">
      <x:c r="A83" s="32" t="n">
        <x:v>79</x:v>
      </x:c>
      <x:c r="B83" s="40" t="n">
        <x:v>7620</x:v>
      </x:c>
      <x:c r="C83" s="40" t="n">
        <x:f>'等级经验对照表'!C81</x:f>
        <x:v>160</x:v>
      </x:c>
      <x:c r="D83" s="41" t="n">
        <x:f>'等级经验对照表'!E81</x:f>
        <x:v>254</x:v>
      </x:c>
      <x:c r="E83" s="41" t="n">
        <x:f>'等级经验对照表'!F81</x:f>
        <x:v>127</x:v>
      </x:c>
      <x:c r="F83" s="41" t="n">
        <x:f>C83/'参数说明'!$B$7</x:f>
        <x:v>5.333333333333333</x:v>
      </x:c>
      <x:c r="G83" s="40" t="n">
        <x:f>C83-C82</x:f>
        <x:v>0</x:v>
      </x:c>
      <x:c r="H83" s="42" t="n">
        <x:f>IF(C82=0,"",C83/C82-1)</x:f>
        <x:v>0</x:v>
      </x:c>
      <x:c r="I83" s="32" t="str">
        <x:v>长期身份区</x:v>
      </x:c>
      <x:c r="J83" s="32" t="str">
        <x:f>IF(G83&lt;0,"XP 回落",IF(H83&gt;0.5,"跳变较大","平稳"))</x:f>
        <x:v>平稳</x:v>
      </x:c>
      <x:c r="K83" s="60"/>
      <x:c r="L83" s="60"/>
      <x:c r="M83" s="60"/>
      <x:c r="N83" s="60"/>
      <x:c r="O83" s="60"/>
      <x:c r="P83" s="60"/>
      <x:c r="Q83" s="60"/>
      <x:c r="R83" s="60"/>
      <x:c r="S83" s="60"/>
    </x:row>
    <x:row r="84">
      <x:c r="A84" s="32" t="n">
        <x:v>80</x:v>
      </x:c>
      <x:c r="B84" s="40" t="n">
        <x:v>7780</x:v>
      </x:c>
      <x:c r="C84" s="40" t="n">
        <x:f>'等级经验对照表'!C82</x:f>
        <x:v>155</x:v>
      </x:c>
      <x:c r="D84" s="41" t="n">
        <x:f>'等级经验对照表'!E82</x:f>
        <x:v>259.3333333333333</x:v>
      </x:c>
      <x:c r="E84" s="41" t="n">
        <x:f>'等级经验对照表'!F82</x:f>
        <x:v>129.66666666666666</x:v>
      </x:c>
      <x:c r="F84" s="41" t="n">
        <x:f>C84/'参数说明'!$B$7</x:f>
        <x:v>5.166666666666667</x:v>
      </x:c>
      <x:c r="G84" s="40" t="n">
        <x:f>C84-C83</x:f>
        <x:v>-5</x:v>
      </x:c>
      <x:c r="H84" s="42" t="n">
        <x:f>IF(C83=0,"",C84/C83-1)</x:f>
        <x:v>-0.03125</x:v>
      </x:c>
      <x:c r="I84" s="32" t="str">
        <x:v>长期身份区</x:v>
      </x:c>
      <x:c r="J84" s="32" t="str">
        <x:f>IF(G84&lt;0,"XP 回落",IF(H84&gt;0.5,"跳变较大","平稳"))</x:f>
        <x:v>XP 回落</x:v>
      </x:c>
      <x:c r="K84" s="60"/>
      <x:c r="L84" s="60"/>
      <x:c r="M84" s="60"/>
      <x:c r="N84" s="60"/>
      <x:c r="O84" s="60"/>
      <x:c r="P84" s="60"/>
      <x:c r="Q84" s="60"/>
      <x:c r="R84" s="60"/>
      <x:c r="S84" s="60"/>
    </x:row>
    <x:row r="85">
      <x:c r="A85" s="32" t="n">
        <x:v>81</x:v>
      </x:c>
      <x:c r="B85" s="40" t="n">
        <x:v>7935</x:v>
      </x:c>
      <x:c r="C85" s="40" t="n">
        <x:f>'等级经验对照表'!C83</x:f>
        <x:v>160</x:v>
      </x:c>
      <x:c r="D85" s="41" t="n">
        <x:f>'等级经验对照表'!E83</x:f>
        <x:v>264.5</x:v>
      </x:c>
      <x:c r="E85" s="41" t="n">
        <x:f>'等级经验对照表'!F83</x:f>
        <x:v>132.25</x:v>
      </x:c>
      <x:c r="F85" s="41" t="n">
        <x:f>C85/'参数说明'!$B$7</x:f>
        <x:v>5.333333333333333</x:v>
      </x:c>
      <x:c r="G85" s="40" t="n">
        <x:f>C85-C84</x:f>
        <x:v>5</x:v>
      </x:c>
      <x:c r="H85" s="42" t="n">
        <x:f>IF(C84=0,"",C85/C84-1)</x:f>
        <x:v>0.032258064516129004</x:v>
      </x:c>
      <x:c r="I85" s="32" t="str">
        <x:v>长期身份区</x:v>
      </x:c>
      <x:c r="J85" s="32" t="str">
        <x:f>IF(G85&lt;0,"XP 回落",IF(H85&gt;0.5,"跳变较大","平稳"))</x:f>
        <x:v>平稳</x:v>
      </x:c>
      <x:c r="K85" s="60"/>
      <x:c r="L85" s="60"/>
      <x:c r="M85" s="60"/>
      <x:c r="N85" s="60"/>
      <x:c r="O85" s="60"/>
      <x:c r="P85" s="60"/>
      <x:c r="Q85" s="60"/>
      <x:c r="R85" s="60"/>
      <x:c r="S85" s="60"/>
    </x:row>
    <x:row r="86">
      <x:c r="A86" s="32" t="n">
        <x:v>82</x:v>
      </x:c>
      <x:c r="B86" s="40" t="n">
        <x:v>8095</x:v>
      </x:c>
      <x:c r="C86" s="40" t="n">
        <x:f>'等级经验对照表'!C84</x:f>
        <x:v>160</x:v>
      </x:c>
      <x:c r="D86" s="41" t="n">
        <x:f>'等级经验对照表'!E84</x:f>
        <x:v>269.8333333333333</x:v>
      </x:c>
      <x:c r="E86" s="41" t="n">
        <x:f>'等级经验对照表'!F84</x:f>
        <x:v>134.91666666666666</x:v>
      </x:c>
      <x:c r="F86" s="41" t="n">
        <x:f>C86/'参数说明'!$B$7</x:f>
        <x:v>5.333333333333333</x:v>
      </x:c>
      <x:c r="G86" s="40" t="n">
        <x:f>C86-C85</x:f>
        <x:v>0</x:v>
      </x:c>
      <x:c r="H86" s="42" t="n">
        <x:f>IF(C85=0,"",C86/C85-1)</x:f>
        <x:v>0</x:v>
      </x:c>
      <x:c r="I86" s="32" t="str">
        <x:v>长期身份区</x:v>
      </x:c>
      <x:c r="J86" s="32" t="str">
        <x:f>IF(G86&lt;0,"XP 回落",IF(H86&gt;0.5,"跳变较大","平稳"))</x:f>
        <x:v>平稳</x:v>
      </x:c>
      <x:c r="K86" s="60"/>
      <x:c r="L86" s="60"/>
      <x:c r="M86" s="60"/>
      <x:c r="N86" s="60"/>
      <x:c r="O86" s="60"/>
      <x:c r="P86" s="60"/>
      <x:c r="Q86" s="60"/>
      <x:c r="R86" s="60"/>
      <x:c r="S86" s="60"/>
    </x:row>
    <x:row r="87">
      <x:c r="A87" s="32" t="n">
        <x:v>83</x:v>
      </x:c>
      <x:c r="B87" s="40" t="n">
        <x:v>8255</x:v>
      </x:c>
      <x:c r="C87" s="40" t="n">
        <x:f>'等级经验对照表'!C85</x:f>
        <x:v>160</x:v>
      </x:c>
      <x:c r="D87" s="41" t="n">
        <x:f>'等级经验对照表'!E85</x:f>
        <x:v>275.1666666666667</x:v>
      </x:c>
      <x:c r="E87" s="41" t="n">
        <x:f>'等级经验对照表'!F85</x:f>
        <x:v>137.58333333333334</x:v>
      </x:c>
      <x:c r="F87" s="41" t="n">
        <x:f>C87/'参数说明'!$B$7</x:f>
        <x:v>5.333333333333333</x:v>
      </x:c>
      <x:c r="G87" s="40" t="n">
        <x:f>C87-C86</x:f>
        <x:v>0</x:v>
      </x:c>
      <x:c r="H87" s="42" t="n">
        <x:f>IF(C86=0,"",C87/C86-1)</x:f>
        <x:v>0</x:v>
      </x:c>
      <x:c r="I87" s="32" t="str">
        <x:v>长期身份区</x:v>
      </x:c>
      <x:c r="J87" s="32" t="str">
        <x:f>IF(G87&lt;0,"XP 回落",IF(H87&gt;0.5,"跳变较大","平稳"))</x:f>
        <x:v>平稳</x:v>
      </x:c>
      <x:c r="K87" s="60"/>
      <x:c r="L87" s="60"/>
      <x:c r="M87" s="60"/>
      <x:c r="N87" s="60"/>
      <x:c r="O87" s="60"/>
      <x:c r="P87" s="60"/>
      <x:c r="Q87" s="60"/>
      <x:c r="R87" s="60"/>
      <x:c r="S87" s="60"/>
    </x:row>
    <x:row r="88">
      <x:c r="A88" s="32" t="n">
        <x:v>84</x:v>
      </x:c>
      <x:c r="B88" s="40" t="n">
        <x:v>8415</x:v>
      </x:c>
      <x:c r="C88" s="40" t="n">
        <x:f>'等级经验对照表'!C86</x:f>
        <x:v>155</x:v>
      </x:c>
      <x:c r="D88" s="41" t="n">
        <x:f>'等级经验对照表'!E86</x:f>
        <x:v>280.5</x:v>
      </x:c>
      <x:c r="E88" s="41" t="n">
        <x:f>'等级经验对照表'!F86</x:f>
        <x:v>140.25</x:v>
      </x:c>
      <x:c r="F88" s="41" t="n">
        <x:f>C88/'参数说明'!$B$7</x:f>
        <x:v>5.166666666666667</x:v>
      </x:c>
      <x:c r="G88" s="40" t="n">
        <x:f>C88-C87</x:f>
        <x:v>-5</x:v>
      </x:c>
      <x:c r="H88" s="42" t="n">
        <x:f>IF(C87=0,"",C88/C87-1)</x:f>
        <x:v>-0.03125</x:v>
      </x:c>
      <x:c r="I88" s="32" t="str">
        <x:v>长期身份区</x:v>
      </x:c>
      <x:c r="J88" s="32" t="str">
        <x:f>IF(G88&lt;0,"XP 回落",IF(H88&gt;0.5,"跳变较大","平稳"))</x:f>
        <x:v>XP 回落</x:v>
      </x:c>
      <x:c r="K88" s="60"/>
      <x:c r="L88" s="60"/>
      <x:c r="M88" s="60"/>
      <x:c r="N88" s="60"/>
      <x:c r="O88" s="60"/>
      <x:c r="P88" s="60"/>
      <x:c r="Q88" s="60"/>
      <x:c r="R88" s="60"/>
      <x:c r="S88" s="60"/>
    </x:row>
    <x:row r="89">
      <x:c r="A89" s="32" t="n">
        <x:v>85</x:v>
      </x:c>
      <x:c r="B89" s="40" t="n">
        <x:v>8570</x:v>
      </x:c>
      <x:c r="C89" s="40" t="n">
        <x:f>'等级经验对照表'!C87</x:f>
        <x:v>160</x:v>
      </x:c>
      <x:c r="D89" s="41" t="n">
        <x:f>'等级经验对照表'!E87</x:f>
        <x:v>285.6666666666667</x:v>
      </x:c>
      <x:c r="E89" s="41" t="n">
        <x:f>'等级经验对照表'!F87</x:f>
        <x:v>142.83333333333334</x:v>
      </x:c>
      <x:c r="F89" s="41" t="n">
        <x:f>C89/'参数说明'!$B$7</x:f>
        <x:v>5.333333333333333</x:v>
      </x:c>
      <x:c r="G89" s="40" t="n">
        <x:f>C89-C88</x:f>
        <x:v>5</x:v>
      </x:c>
      <x:c r="H89" s="42" t="n">
        <x:f>IF(C88=0,"",C89/C88-1)</x:f>
        <x:v>0.032258064516129004</x:v>
      </x:c>
      <x:c r="I89" s="32" t="str">
        <x:v>长期身份区</x:v>
      </x:c>
      <x:c r="J89" s="32" t="str">
        <x:f>IF(G89&lt;0,"XP 回落",IF(H89&gt;0.5,"跳变较大","平稳"))</x:f>
        <x:v>平稳</x:v>
      </x:c>
      <x:c r="K89" s="60"/>
      <x:c r="L89" s="60"/>
      <x:c r="M89" s="60"/>
      <x:c r="N89" s="60"/>
      <x:c r="O89" s="60"/>
      <x:c r="P89" s="60"/>
      <x:c r="Q89" s="60"/>
      <x:c r="R89" s="60"/>
      <x:c r="S89" s="60"/>
    </x:row>
    <x:row r="90">
      <x:c r="A90" s="32" t="n">
        <x:v>86</x:v>
      </x:c>
      <x:c r="B90" s="40" t="n">
        <x:v>8730</x:v>
      </x:c>
      <x:c r="C90" s="40" t="n">
        <x:f>'等级经验对照表'!C88</x:f>
        <x:v>160</x:v>
      </x:c>
      <x:c r="D90" s="41" t="n">
        <x:f>'等级经验对照表'!E88</x:f>
        <x:v>291</x:v>
      </x:c>
      <x:c r="E90" s="41" t="n">
        <x:f>'等级经验对照表'!F88</x:f>
        <x:v>145.5</x:v>
      </x:c>
      <x:c r="F90" s="41" t="n">
        <x:f>C90/'参数说明'!$B$7</x:f>
        <x:v>5.333333333333333</x:v>
      </x:c>
      <x:c r="G90" s="40" t="n">
        <x:f>C90-C89</x:f>
        <x:v>0</x:v>
      </x:c>
      <x:c r="H90" s="42" t="n">
        <x:f>IF(C89=0,"",C90/C89-1)</x:f>
        <x:v>0</x:v>
      </x:c>
      <x:c r="I90" s="32" t="str">
        <x:v>长期身份区</x:v>
      </x:c>
      <x:c r="J90" s="32" t="str">
        <x:f>IF(G90&lt;0,"XP 回落",IF(H90&gt;0.5,"跳变较大","平稳"))</x:f>
        <x:v>平稳</x:v>
      </x:c>
      <x:c r="K90" s="60"/>
      <x:c r="L90" s="60"/>
      <x:c r="M90" s="60"/>
      <x:c r="N90" s="60"/>
      <x:c r="O90" s="60"/>
      <x:c r="P90" s="60"/>
      <x:c r="Q90" s="60"/>
      <x:c r="R90" s="60"/>
      <x:c r="S90" s="60"/>
    </x:row>
    <x:row r="91">
      <x:c r="A91" s="32" t="n">
        <x:v>87</x:v>
      </x:c>
      <x:c r="B91" s="40" t="n">
        <x:v>8890</x:v>
      </x:c>
      <x:c r="C91" s="40" t="n">
        <x:f>'等级经验对照表'!C89</x:f>
        <x:v>155</x:v>
      </x:c>
      <x:c r="D91" s="41" t="n">
        <x:f>'等级经验对照表'!E89</x:f>
        <x:v>296.3333333333333</x:v>
      </x:c>
      <x:c r="E91" s="41" t="n">
        <x:f>'等级经验对照表'!F89</x:f>
        <x:v>148.16666666666666</x:v>
      </x:c>
      <x:c r="F91" s="41" t="n">
        <x:f>C91/'参数说明'!$B$7</x:f>
        <x:v>5.166666666666667</x:v>
      </x:c>
      <x:c r="G91" s="40" t="n">
        <x:f>C91-C90</x:f>
        <x:v>-5</x:v>
      </x:c>
      <x:c r="H91" s="42" t="n">
        <x:f>IF(C90=0,"",C91/C90-1)</x:f>
        <x:v>-0.03125</x:v>
      </x:c>
      <x:c r="I91" s="32" t="str">
        <x:v>长期身份区</x:v>
      </x:c>
      <x:c r="J91" s="32" t="str">
        <x:f>IF(G91&lt;0,"XP 回落",IF(H91&gt;0.5,"跳变较大","平稳"))</x:f>
        <x:v>XP 回落</x:v>
      </x:c>
      <x:c r="K91" s="60"/>
      <x:c r="L91" s="60"/>
      <x:c r="M91" s="60"/>
      <x:c r="N91" s="60"/>
      <x:c r="O91" s="60"/>
      <x:c r="P91" s="60"/>
      <x:c r="Q91" s="60"/>
      <x:c r="R91" s="60"/>
      <x:c r="S91" s="60"/>
    </x:row>
    <x:row r="92">
      <x:c r="A92" s="32" t="n">
        <x:v>88</x:v>
      </x:c>
      <x:c r="B92" s="40" t="n">
        <x:v>9045</x:v>
      </x:c>
      <x:c r="C92" s="40" t="n">
        <x:f>'等级经验对照表'!C90</x:f>
        <x:v>160</x:v>
      </x:c>
      <x:c r="D92" s="41" t="n">
        <x:f>'等级经验对照表'!E90</x:f>
        <x:v>301.5</x:v>
      </x:c>
      <x:c r="E92" s="41" t="n">
        <x:f>'等级经验对照表'!F90</x:f>
        <x:v>150.75</x:v>
      </x:c>
      <x:c r="F92" s="41" t="n">
        <x:f>C92/'参数说明'!$B$7</x:f>
        <x:v>5.333333333333333</x:v>
      </x:c>
      <x:c r="G92" s="40" t="n">
        <x:f>C92-C91</x:f>
        <x:v>5</x:v>
      </x:c>
      <x:c r="H92" s="42" t="n">
        <x:f>IF(C91=0,"",C92/C91-1)</x:f>
        <x:v>0.032258064516129004</x:v>
      </x:c>
      <x:c r="I92" s="32" t="str">
        <x:v>长期身份区</x:v>
      </x:c>
      <x:c r="J92" s="32" t="str">
        <x:f>IF(G92&lt;0,"XP 回落",IF(H92&gt;0.5,"跳变较大","平稳"))</x:f>
        <x:v>平稳</x:v>
      </x:c>
      <x:c r="K92" s="60"/>
      <x:c r="L92" s="60"/>
      <x:c r="M92" s="60"/>
      <x:c r="N92" s="60"/>
      <x:c r="O92" s="60"/>
      <x:c r="P92" s="60"/>
      <x:c r="Q92" s="60"/>
      <x:c r="R92" s="60"/>
      <x:c r="S92" s="60"/>
    </x:row>
    <x:row r="93">
      <x:c r="A93" s="32" t="n">
        <x:v>89</x:v>
      </x:c>
      <x:c r="B93" s="40" t="n">
        <x:v>9205</x:v>
      </x:c>
      <x:c r="C93" s="40" t="n">
        <x:f>'等级经验对照表'!C91</x:f>
        <x:v>160</x:v>
      </x:c>
      <x:c r="D93" s="41" t="n">
        <x:f>'等级经验对照表'!E91</x:f>
        <x:v>306.8333333333333</x:v>
      </x:c>
      <x:c r="E93" s="41" t="n">
        <x:f>'等级经验对照表'!F91</x:f>
        <x:v>153.41666666666666</x:v>
      </x:c>
      <x:c r="F93" s="41" t="n">
        <x:f>C93/'参数说明'!$B$7</x:f>
        <x:v>5.333333333333333</x:v>
      </x:c>
      <x:c r="G93" s="40" t="n">
        <x:f>C93-C92</x:f>
        <x:v>0</x:v>
      </x:c>
      <x:c r="H93" s="42" t="n">
        <x:f>IF(C92=0,"",C93/C92-1)</x:f>
        <x:v>0</x:v>
      </x:c>
      <x:c r="I93" s="32" t="str">
        <x:v>长期身份区</x:v>
      </x:c>
      <x:c r="J93" s="32" t="str">
        <x:f>IF(G93&lt;0,"XP 回落",IF(H93&gt;0.5,"跳变较大","平稳"))</x:f>
        <x:v>平稳</x:v>
      </x:c>
      <x:c r="K93" s="60"/>
      <x:c r="L93" s="60"/>
      <x:c r="M93" s="60"/>
      <x:c r="N93" s="60"/>
      <x:c r="O93" s="60"/>
      <x:c r="P93" s="60"/>
      <x:c r="Q93" s="60"/>
      <x:c r="R93" s="60"/>
      <x:c r="S93" s="60"/>
    </x:row>
    <x:row r="94">
      <x:c r="A94" s="32" t="n">
        <x:v>90</x:v>
      </x:c>
      <x:c r="B94" s="40" t="n">
        <x:v>9365</x:v>
      </x:c>
      <x:c r="C94" s="40" t="n">
        <x:f>'等级经验对照表'!C92</x:f>
        <x:v>160</x:v>
      </x:c>
      <x:c r="D94" s="41" t="n">
        <x:f>'等级经验对照表'!E92</x:f>
        <x:v>312.1666666666667</x:v>
      </x:c>
      <x:c r="E94" s="41" t="n">
        <x:f>'等级经验对照表'!F92</x:f>
        <x:v>156.08333333333334</x:v>
      </x:c>
      <x:c r="F94" s="41" t="n">
        <x:f>C94/'参数说明'!$B$7</x:f>
        <x:v>5.333333333333333</x:v>
      </x:c>
      <x:c r="G94" s="40" t="n">
        <x:f>C94-C93</x:f>
        <x:v>0</x:v>
      </x:c>
      <x:c r="H94" s="42" t="n">
        <x:f>IF(C93=0,"",C94/C93-1)</x:f>
        <x:v>0</x:v>
      </x:c>
      <x:c r="I94" s="32" t="str">
        <x:v>长期身份区</x:v>
      </x:c>
      <x:c r="J94" s="32" t="str">
        <x:f>IF(G94&lt;0,"XP 回落",IF(H94&gt;0.5,"跳变较大","平稳"))</x:f>
        <x:v>平稳</x:v>
      </x:c>
      <x:c r="K94" s="60"/>
      <x:c r="L94" s="60"/>
      <x:c r="M94" s="60"/>
      <x:c r="N94" s="60"/>
      <x:c r="O94" s="60"/>
      <x:c r="P94" s="60"/>
      <x:c r="Q94" s="60"/>
      <x:c r="R94" s="60"/>
      <x:c r="S94" s="60"/>
    </x:row>
    <x:row r="95">
      <x:c r="A95" s="32" t="n">
        <x:v>91</x:v>
      </x:c>
      <x:c r="B95" s="40" t="n">
        <x:v>9525</x:v>
      </x:c>
      <x:c r="C95" s="40" t="n">
        <x:f>'等级经验对照表'!C93</x:f>
        <x:v>155</x:v>
      </x:c>
      <x:c r="D95" s="41" t="n">
        <x:f>'等级经验对照表'!E93</x:f>
        <x:v>317.5</x:v>
      </x:c>
      <x:c r="E95" s="41" t="n">
        <x:f>'等级经验对照表'!F93</x:f>
        <x:v>158.75</x:v>
      </x:c>
      <x:c r="F95" s="41" t="n">
        <x:f>C95/'参数说明'!$B$7</x:f>
        <x:v>5.166666666666667</x:v>
      </x:c>
      <x:c r="G95" s="40" t="n">
        <x:f>C95-C94</x:f>
        <x:v>-5</x:v>
      </x:c>
      <x:c r="H95" s="42" t="n">
        <x:f>IF(C94=0,"",C95/C94-1)</x:f>
        <x:v>-0.03125</x:v>
      </x:c>
      <x:c r="I95" s="32" t="str">
        <x:v>长期身份区</x:v>
      </x:c>
      <x:c r="J95" s="32" t="str">
        <x:f>IF(G95&lt;0,"XP 回落",IF(H95&gt;0.5,"跳变较大","平稳"))</x:f>
        <x:v>XP 回落</x:v>
      </x:c>
      <x:c r="K95" s="60"/>
      <x:c r="L95" s="60"/>
      <x:c r="M95" s="60"/>
      <x:c r="N95" s="60"/>
      <x:c r="O95" s="60"/>
      <x:c r="P95" s="60"/>
      <x:c r="Q95" s="60"/>
      <x:c r="R95" s="60"/>
      <x:c r="S95" s="60"/>
    </x:row>
    <x:row r="96">
      <x:c r="A96" s="32" t="n">
        <x:v>92</x:v>
      </x:c>
      <x:c r="B96" s="40" t="n">
        <x:v>9680</x:v>
      </x:c>
      <x:c r="C96" s="40" t="n">
        <x:f>'等级经验对照表'!C94</x:f>
        <x:v>160</x:v>
      </x:c>
      <x:c r="D96" s="41" t="n">
        <x:f>'等级经验对照表'!E94</x:f>
        <x:v>322.6666666666667</x:v>
      </x:c>
      <x:c r="E96" s="41" t="n">
        <x:f>'等级经验对照表'!F94</x:f>
        <x:v>161.33333333333334</x:v>
      </x:c>
      <x:c r="F96" s="41" t="n">
        <x:f>C96/'参数说明'!$B$7</x:f>
        <x:v>5.333333333333333</x:v>
      </x:c>
      <x:c r="G96" s="40" t="n">
        <x:f>C96-C95</x:f>
        <x:v>5</x:v>
      </x:c>
      <x:c r="H96" s="42" t="n">
        <x:f>IF(C95=0,"",C96/C95-1)</x:f>
        <x:v>0.032258064516129004</x:v>
      </x:c>
      <x:c r="I96" s="32" t="str">
        <x:v>长期身份区</x:v>
      </x:c>
      <x:c r="J96" s="32" t="str">
        <x:f>IF(G96&lt;0,"XP 回落",IF(H96&gt;0.5,"跳变较大","平稳"))</x:f>
        <x:v>平稳</x:v>
      </x:c>
      <x:c r="K96" s="60"/>
      <x:c r="L96" s="60"/>
      <x:c r="M96" s="60"/>
      <x:c r="N96" s="60"/>
      <x:c r="O96" s="60"/>
      <x:c r="P96" s="60"/>
      <x:c r="Q96" s="60"/>
      <x:c r="R96" s="60"/>
      <x:c r="S96" s="60"/>
    </x:row>
    <x:row r="97">
      <x:c r="A97" s="32" t="n">
        <x:v>93</x:v>
      </x:c>
      <x:c r="B97" s="40" t="n">
        <x:v>9840</x:v>
      </x:c>
      <x:c r="C97" s="40" t="n">
        <x:f>'等级经验对照表'!C95</x:f>
        <x:v>160</x:v>
      </x:c>
      <x:c r="D97" s="41" t="n">
        <x:f>'等级经验对照表'!E95</x:f>
        <x:v>328</x:v>
      </x:c>
      <x:c r="E97" s="41" t="n">
        <x:f>'等级经验对照表'!F95</x:f>
        <x:v>164</x:v>
      </x:c>
      <x:c r="F97" s="41" t="n">
        <x:f>C97/'参数说明'!$B$7</x:f>
        <x:v>5.333333333333333</x:v>
      </x:c>
      <x:c r="G97" s="40" t="n">
        <x:f>C97-C96</x:f>
        <x:v>0</x:v>
      </x:c>
      <x:c r="H97" s="42" t="n">
        <x:f>IF(C96=0,"",C97/C96-1)</x:f>
        <x:v>0</x:v>
      </x:c>
      <x:c r="I97" s="32" t="str">
        <x:v>长期身份区</x:v>
      </x:c>
      <x:c r="J97" s="32" t="str">
        <x:f>IF(G97&lt;0,"XP 回落",IF(H97&gt;0.5,"跳变较大","平稳"))</x:f>
        <x:v>平稳</x:v>
      </x:c>
      <x:c r="K97" s="60"/>
      <x:c r="L97" s="60"/>
      <x:c r="M97" s="60"/>
      <x:c r="N97" s="60"/>
      <x:c r="O97" s="60"/>
      <x:c r="P97" s="60"/>
      <x:c r="Q97" s="60"/>
      <x:c r="R97" s="60"/>
      <x:c r="S97" s="60"/>
    </x:row>
    <x:row r="98">
      <x:c r="A98" s="32" t="n">
        <x:v>94</x:v>
      </x:c>
      <x:c r="B98" s="40" t="n">
        <x:v>10000</x:v>
      </x:c>
      <x:c r="C98" s="40" t="n">
        <x:f>'等级经验对照表'!C96</x:f>
        <x:v>155</x:v>
      </x:c>
      <x:c r="D98" s="41" t="n">
        <x:f>'等级经验对照表'!E96</x:f>
        <x:v>333.3333333333333</x:v>
      </x:c>
      <x:c r="E98" s="41" t="n">
        <x:f>'等级经验对照表'!F96</x:f>
        <x:v>166.66666666666666</x:v>
      </x:c>
      <x:c r="F98" s="41" t="n">
        <x:f>C98/'参数说明'!$B$7</x:f>
        <x:v>5.166666666666667</x:v>
      </x:c>
      <x:c r="G98" s="40" t="n">
        <x:f>C98-C97</x:f>
        <x:v>-5</x:v>
      </x:c>
      <x:c r="H98" s="42" t="n">
        <x:f>IF(C97=0,"",C98/C97-1)</x:f>
        <x:v>-0.03125</x:v>
      </x:c>
      <x:c r="I98" s="32" t="str">
        <x:v>长期身份区</x:v>
      </x:c>
      <x:c r="J98" s="32" t="str">
        <x:f>IF(G98&lt;0,"XP 回落",IF(H98&gt;0.5,"跳变较大","平稳"))</x:f>
        <x:v>XP 回落</x:v>
      </x:c>
      <x:c r="K98" s="60"/>
      <x:c r="L98" s="60"/>
      <x:c r="M98" s="60"/>
      <x:c r="N98" s="60"/>
      <x:c r="O98" s="60"/>
      <x:c r="P98" s="60"/>
      <x:c r="Q98" s="60"/>
      <x:c r="R98" s="60"/>
      <x:c r="S98" s="60"/>
    </x:row>
    <x:row r="99">
      <x:c r="A99" s="32" t="n">
        <x:v>95</x:v>
      </x:c>
      <x:c r="B99" s="40" t="n">
        <x:v>10155</x:v>
      </x:c>
      <x:c r="C99" s="40" t="n">
        <x:f>'等级经验对照表'!C97</x:f>
        <x:v>160</x:v>
      </x:c>
      <x:c r="D99" s="41" t="n">
        <x:f>'等级经验对照表'!E97</x:f>
        <x:v>338.5</x:v>
      </x:c>
      <x:c r="E99" s="41" t="n">
        <x:f>'等级经验对照表'!F97</x:f>
        <x:v>169.25</x:v>
      </x:c>
      <x:c r="F99" s="41" t="n">
        <x:f>C99/'参数说明'!$B$7</x:f>
        <x:v>5.333333333333333</x:v>
      </x:c>
      <x:c r="G99" s="40" t="n">
        <x:f>C99-C98</x:f>
        <x:v>5</x:v>
      </x:c>
      <x:c r="H99" s="42" t="n">
        <x:f>IF(C98=0,"",C99/C98-1)</x:f>
        <x:v>0.032258064516129004</x:v>
      </x:c>
      <x:c r="I99" s="32" t="str">
        <x:v>长期身份区</x:v>
      </x:c>
      <x:c r="J99" s="32" t="str">
        <x:f>IF(G99&lt;0,"XP 回落",IF(H99&gt;0.5,"跳变较大","平稳"))</x:f>
        <x:v>平稳</x:v>
      </x:c>
      <x:c r="K99" s="60"/>
      <x:c r="L99" s="60"/>
      <x:c r="M99" s="60"/>
      <x:c r="N99" s="60"/>
      <x:c r="O99" s="60"/>
      <x:c r="P99" s="60"/>
      <x:c r="Q99" s="60"/>
      <x:c r="R99" s="60"/>
      <x:c r="S99" s="60"/>
    </x:row>
    <x:row r="100">
      <x:c r="A100" s="32" t="n">
        <x:v>96</x:v>
      </x:c>
      <x:c r="B100" s="40" t="n">
        <x:v>10315</x:v>
      </x:c>
      <x:c r="C100" s="40" t="n">
        <x:f>'等级经验对照表'!C98</x:f>
        <x:v>160</x:v>
      </x:c>
      <x:c r="D100" s="41" t="n">
        <x:f>'等级经验对照表'!E98</x:f>
        <x:v>343.8333333333333</x:v>
      </x:c>
      <x:c r="E100" s="41" t="n">
        <x:f>'等级经验对照表'!F98</x:f>
        <x:v>171.91666666666666</x:v>
      </x:c>
      <x:c r="F100" s="41" t="n">
        <x:f>C100/'参数说明'!$B$7</x:f>
        <x:v>5.333333333333333</x:v>
      </x:c>
      <x:c r="G100" s="40" t="n">
        <x:f>C100-C99</x:f>
        <x:v>0</x:v>
      </x:c>
      <x:c r="H100" s="42" t="n">
        <x:f>IF(C99=0,"",C100/C99-1)</x:f>
        <x:v>0</x:v>
      </x:c>
      <x:c r="I100" s="32" t="str">
        <x:v>长期身份区</x:v>
      </x:c>
      <x:c r="J100" s="32" t="str">
        <x:f>IF(G100&lt;0,"XP 回落",IF(H100&gt;0.5,"跳变较大","平稳"))</x:f>
        <x:v>平稳</x:v>
      </x:c>
      <x:c r="K100" s="60"/>
      <x:c r="L100" s="60"/>
      <x:c r="M100" s="60"/>
      <x:c r="N100" s="60"/>
      <x:c r="O100" s="60"/>
      <x:c r="P100" s="60"/>
      <x:c r="Q100" s="60"/>
      <x:c r="R100" s="60"/>
      <x:c r="S100" s="60"/>
    </x:row>
    <x:row r="101">
      <x:c r="A101" s="32" t="n">
        <x:v>97</x:v>
      </x:c>
      <x:c r="B101" s="40" t="n">
        <x:v>10475</x:v>
      </x:c>
      <x:c r="C101" s="40" t="n">
        <x:f>'等级经验对照表'!C99</x:f>
        <x:v>160</x:v>
      </x:c>
      <x:c r="D101" s="41" t="n">
        <x:f>'等级经验对照表'!E99</x:f>
        <x:v>349.1666666666667</x:v>
      </x:c>
      <x:c r="E101" s="41" t="n">
        <x:f>'等级经验对照表'!F99</x:f>
        <x:v>174.58333333333334</x:v>
      </x:c>
      <x:c r="F101" s="41" t="n">
        <x:f>C101/'参数说明'!$B$7</x:f>
        <x:v>5.333333333333333</x:v>
      </x:c>
      <x:c r="G101" s="40" t="n">
        <x:f>C101-C100</x:f>
        <x:v>0</x:v>
      </x:c>
      <x:c r="H101" s="42" t="n">
        <x:f>IF(C100=0,"",C101/C100-1)</x:f>
        <x:v>0</x:v>
      </x:c>
      <x:c r="I101" s="32" t="str">
        <x:v>长期身份区</x:v>
      </x:c>
      <x:c r="J101" s="32" t="str">
        <x:f>IF(G101&lt;0,"XP 回落",IF(H101&gt;0.5,"跳变较大","平稳"))</x:f>
        <x:v>平稳</x:v>
      </x:c>
      <x:c r="K101" s="60"/>
      <x:c r="L101" s="60"/>
      <x:c r="M101" s="60"/>
      <x:c r="N101" s="60"/>
      <x:c r="O101" s="60"/>
      <x:c r="P101" s="60"/>
      <x:c r="Q101" s="60"/>
      <x:c r="R101" s="60"/>
      <x:c r="S101" s="60"/>
    </x:row>
    <x:row r="102">
      <x:c r="A102" s="32" t="n">
        <x:v>98</x:v>
      </x:c>
      <x:c r="B102" s="40" t="n">
        <x:v>10635</x:v>
      </x:c>
      <x:c r="C102" s="40" t="n">
        <x:f>'等级经验对照表'!C100</x:f>
        <x:v>155</x:v>
      </x:c>
      <x:c r="D102" s="41" t="n">
        <x:f>'等级经验对照表'!E100</x:f>
        <x:v>354.5</x:v>
      </x:c>
      <x:c r="E102" s="41" t="n">
        <x:f>'等级经验对照表'!F100</x:f>
        <x:v>177.25</x:v>
      </x:c>
      <x:c r="F102" s="41" t="n">
        <x:f>C102/'参数说明'!$B$7</x:f>
        <x:v>5.166666666666667</x:v>
      </x:c>
      <x:c r="G102" s="40" t="n">
        <x:f>C102-C101</x:f>
        <x:v>-5</x:v>
      </x:c>
      <x:c r="H102" s="42" t="n">
        <x:f>IF(C101=0,"",C102/C101-1)</x:f>
        <x:v>-0.03125</x:v>
      </x:c>
      <x:c r="I102" s="32" t="str">
        <x:v>长期身份区</x:v>
      </x:c>
      <x:c r="J102" s="32" t="str">
        <x:f>IF(G102&lt;0,"XP 回落",IF(H102&gt;0.5,"跳变较大","平稳"))</x:f>
        <x:v>XP 回落</x:v>
      </x:c>
      <x:c r="K102" s="60"/>
      <x:c r="L102" s="60"/>
      <x:c r="M102" s="60"/>
      <x:c r="N102" s="60"/>
      <x:c r="O102" s="60"/>
      <x:c r="P102" s="60"/>
      <x:c r="Q102" s="60"/>
      <x:c r="R102" s="60"/>
      <x:c r="S102" s="60"/>
    </x:row>
    <x:row r="103">
      <x:c r="A103" s="32" t="n">
        <x:v>99</x:v>
      </x:c>
      <x:c r="B103" s="40" t="n">
        <x:v>10790</x:v>
      </x:c>
      <x:c r="C103" s="40" t="n">
        <x:f>'等级经验对照表'!C101</x:f>
        <x:v>160</x:v>
      </x:c>
      <x:c r="D103" s="41" t="n">
        <x:f>'等级经验对照表'!E101</x:f>
        <x:v>359.6666666666667</x:v>
      </x:c>
      <x:c r="E103" s="41" t="n">
        <x:f>'等级经验对照表'!F101</x:f>
        <x:v>179.83333333333334</x:v>
      </x:c>
      <x:c r="F103" s="41" t="n">
        <x:f>C103/'参数说明'!$B$7</x:f>
        <x:v>5.333333333333333</x:v>
      </x:c>
      <x:c r="G103" s="40" t="n">
        <x:f>C103-C102</x:f>
        <x:v>5</x:v>
      </x:c>
      <x:c r="H103" s="42" t="n">
        <x:f>IF(C102=0,"",C103/C102-1)</x:f>
        <x:v>0.032258064516129004</x:v>
      </x:c>
      <x:c r="I103" s="32" t="str">
        <x:v>长期身份区</x:v>
      </x:c>
      <x:c r="J103" s="32" t="str">
        <x:f>IF(G103&lt;0,"XP 回落",IF(H103&gt;0.5,"跳变较大","平稳"))</x:f>
        <x:v>平稳</x:v>
      </x:c>
      <x:c r="K103" s="60"/>
      <x:c r="L103" s="60"/>
      <x:c r="M103" s="60"/>
      <x:c r="N103" s="60"/>
      <x:c r="O103" s="60"/>
      <x:c r="P103" s="60"/>
      <x:c r="Q103" s="60"/>
      <x:c r="R103" s="60"/>
      <x:c r="S103" s="60"/>
    </x:row>
    <x:row r="104">
      <x:c r="A104" s="32" t="n">
        <x:v>100</x:v>
      </x:c>
      <x:c r="B104" s="40" t="n">
        <x:v>10950</x:v>
      </x:c>
      <x:c r="C104" s="40"/>
      <x:c r="D104" s="41" t="n">
        <x:f>'等级经验对照表'!E102</x:f>
        <x:v>365</x:v>
      </x:c>
      <x:c r="E104" s="41" t="n">
        <x:f>'等级经验对照表'!F102</x:f>
        <x:v>182.5</x:v>
      </x:c>
      <x:c r="F104" s="41"/>
      <x:c r="G104" s="40"/>
      <x:c r="H104" s="42"/>
      <x:c r="I104" s="32" t="str">
        <x:v>长期身份区</x:v>
      </x:c>
      <x:c r="J104" s="32" t="str">
        <x:f>"上限等级"</x:f>
        <x:v>上限等级</x:v>
      </x:c>
      <x:c r="K104" s="60"/>
      <x:c r="L104" s="60"/>
      <x:c r="M104" s="60"/>
      <x:c r="N104" s="60"/>
      <x:c r="O104" s="60"/>
      <x:c r="P104" s="60"/>
      <x:c r="Q104" s="60"/>
      <x:c r="R104" s="60"/>
      <x:c r="S104" s="60"/>
    </x:row>
  </x:sheetData>
  <x:mergeCells>
    <x:mergeCell ref="A1:J1"/>
    <x:mergeCell ref="L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38" t="str">
        <x:v>第一版 XP 规则：4 档数值、复习限量、每日软上限</x:v>
      </x:c>
      <x:c r="B1" s="60"/>
      <x:c r="C1" s="60"/>
      <x:c r="D1" s="60"/>
      <x:c r="E1" s="60"/>
      <x:c r="F1" s="60"/>
    </x:row>
    <x:row r="2">
      <x:c r="A2" s="60"/>
      <x:c r="B2" s="60"/>
      <x:c r="C2" s="60"/>
      <x:c r="D2" s="60"/>
      <x:c r="E2" s="60"/>
      <x:c r="F2" s="60"/>
    </x:row>
    <x:row r="3" ht="24" customHeight="1">
      <x:c r="A3" s="2" t="str">
        <x:v>XP 四档规则</x:v>
      </x:c>
      <x:c r="B3" s="60"/>
      <x:c r="C3" s="60"/>
      <x:c r="D3" s="60"/>
      <x:c r="E3" s="60"/>
      <x:c r="F3" s="60"/>
    </x:row>
    <x:row r="4">
      <x:c r="A4" s="47" t="str">
        <x:v>行为类型</x:v>
      </x:c>
      <x:c r="B4" s="47" t="str">
        <x:v>XP</x:v>
      </x:c>
      <x:c r="C4" s="47" t="str">
        <x:v>说明</x:v>
      </x:c>
      <x:c r="D4" s="47" t="str">
        <x:v>计入累计等级 XP</x:v>
      </x:c>
      <x:c r="E4" s="47" t="str">
        <x:v>计入周榜 XP</x:v>
      </x:c>
      <x:c r="F4" s="47" t="str">
        <x:v>设计理由</x:v>
      </x:c>
    </x:row>
    <x:row r="5">
      <x:c r="A5" s="48" t="str">
        <x:v>基础难度题型</x:v>
      </x:c>
      <x:c r="B5" s="48" t="n">
        <x:v>10</x:v>
      </x:c>
      <x:c r="C5" s="48" t="str">
        <x:v>普通学习、基础选择、基础句子练习</x:v>
      </x:c>
      <x:c r="D5" s="48" t="str">
        <x:v>是</x:v>
      </x:c>
      <x:c r="E5" s="48" t="str">
        <x:v>是</x:v>
      </x:c>
      <x:c r="F5" s="48" t="str">
        <x:v>第一版 XP 最小正反馈单位</x:v>
      </x:c>
    </x:row>
    <x:row r="6">
      <x:c r="A6" s="48" t="str">
        <x:v>进阶难度题型</x:v>
      </x:c>
      <x:c r="B6" s="48" t="n">
        <x:v>15</x:v>
      </x:c>
      <x:c r="C6" s="48" t="str">
        <x:v>口语、听力、组合表达、较高认知负荷题</x:v>
      </x:c>
      <x:c r="D6" s="48" t="str">
        <x:v>是</x:v>
      </x:c>
      <x:c r="E6" s="48" t="str">
        <x:v>是</x:v>
      </x:c>
      <x:c r="F6" s="48" t="str">
        <x:v>强化 Pinu 口语/听力差异化</x:v>
      </x:c>
    </x:row>
    <x:row r="7">
      <x:c r="A7" s="48" t="str">
        <x:v>挑战类玩法</x:v>
      </x:c>
      <x:c r="B7" s="48" t="n">
        <x:v>30</x:v>
      </x:c>
      <x:c r="C7" s="48" t="str">
        <x:v>限时挑战、综合挑战、阶段挑战</x:v>
      </x:c>
      <x:c r="D7" s="48" t="str">
        <x:v>是</x:v>
      </x:c>
      <x:c r="E7" s="48" t="str">
        <x:v>是</x:v>
      </x:c>
      <x:c r="F7" s="48" t="str">
        <x:v>低频高门槛，不让单次挑战决定榜单</x:v>
      </x:c>
    </x:row>
    <x:row r="8">
      <x:c r="A8" s="48" t="str">
        <x:v>复习</x:v>
      </x:c>
      <x:c r="B8" s="48" t="n">
        <x:v>5</x:v>
      </x:c>
      <x:c r="C8" s="48" t="str">
        <x:v>巩固旧内容</x:v>
      </x:c>
      <x:c r="D8" s="48" t="str">
        <x:v>是，受每日上限</x:v>
      </x:c>
      <x:c r="E8" s="48" t="str">
        <x:v>是，受每日上限</x:v>
      </x:c>
      <x:c r="F8" s="48" t="str">
        <x:v>防止简单复习成为刷分主路径</x:v>
      </x:c>
    </x:row>
    <x:row r="9">
      <x:c r="A9" s="66"/>
      <x:c r="B9" s="66"/>
      <x:c r="C9" s="66"/>
      <x:c r="D9" s="66"/>
      <x:c r="E9" s="66"/>
      <x:c r="F9" s="66"/>
    </x:row>
    <x:row r="10" ht="24" customHeight="1">
      <x:c r="A10" s="67" t="str">
        <x:v>复习 XP 限制</x:v>
      </x:c>
      <x:c r="B10" s="66"/>
      <x:c r="C10" s="66"/>
      <x:c r="D10" s="67" t="str">
        <x:v>每日有效 XP 软上限</x:v>
      </x:c>
      <x:c r="E10" s="66"/>
      <x:c r="F10" s="66"/>
    </x:row>
    <x:row r="11">
      <x:c r="A11" s="47" t="str">
        <x:v>规则</x:v>
      </x:c>
      <x:c r="B11" s="47" t="str">
        <x:v>建议</x:v>
      </x:c>
      <x:c r="C11" s="66"/>
      <x:c r="D11" s="47" t="str">
        <x:v>当日有效 XP</x:v>
      </x:c>
      <x:c r="E11" s="47" t="str">
        <x:v>计入比例</x:v>
      </x:c>
      <x:c r="F11" s="47" t="str">
        <x:v>说明</x:v>
      </x:c>
    </x:row>
    <x:row r="12">
      <x:c r="A12" s="48" t="str">
        <x:v>复习单次 XP</x:v>
      </x:c>
      <x:c r="B12" s="48" t="str">
        <x:v>5 XP</x:v>
      </x:c>
      <x:c r="C12" s="66"/>
      <x:c r="D12" s="48" t="str">
        <x:v>0-150 XP</x:v>
      </x:c>
      <x:c r="E12" s="51" t="n">
        <x:v>1</x:v>
      </x:c>
      <x:c r="F12" s="48" t="str">
        <x:v>100% 计入</x:v>
      </x:c>
    </x:row>
    <x:row r="13">
      <x:c r="A13" s="48" t="str">
        <x:v>每日可计入周榜的复习 XP 上限</x:v>
      </x:c>
      <x:c r="B13" s="48" t="str">
        <x:v>30 XP</x:v>
      </x:c>
      <x:c r="C13" s="66"/>
      <x:c r="D13" s="48" t="str">
        <x:v>151-300 XP</x:v>
      </x:c>
      <x:c r="E13" s="51" t="n">
        <x:v>0.5</x:v>
      </x:c>
      <x:c r="F13" s="48" t="str">
        <x:v>超出部分 50% 计入</x:v>
      </x:c>
    </x:row>
    <x:row r="14">
      <x:c r="A14" s="48" t="str">
        <x:v>每日可计入累计等级的复习 XP 上限</x:v>
      </x:c>
      <x:c r="B14" s="48" t="str">
        <x:v>30 XP</x:v>
      </x:c>
      <x:c r="C14" s="66"/>
      <x:c r="D14" s="48" t="str">
        <x:v>300+ XP</x:v>
      </x:c>
      <x:c r="E14" s="51" t="n">
        <x:v>0.2</x:v>
      </x:c>
      <x:c r="F14" s="48" t="str">
        <x:v>超出部分 20% 计入</x:v>
      </x:c>
    </x:row>
    <x:row r="15">
      <x:c r="A15" s="48" t="str">
        <x:v>超出上限</x:v>
      </x:c>
      <x:c r="B15" s="48" t="str">
        <x:v>可继续复习，但不再获得 XP；只保留 Mastery/复习完成反馈</x:v>
      </x:c>
      <x:c r="C15" s="66"/>
      <x:c r="D15" s="66"/>
      <x:c r="E15" s="66"/>
      <x:c r="F15" s="66"/>
    </x:row>
    <x:row r="16">
      <x:c r="A16" s="48" t="str">
        <x:v>到期复习优先</x:v>
      </x:c>
      <x:c r="B16" s="48" t="str">
        <x:v>到期复习给 XP，非到期重复复习不给或递减</x:v>
      </x:c>
      <x:c r="C16" s="66"/>
      <x:c r="D16" s="66"/>
      <x:c r="E16" s="66"/>
      <x:c r="F16" s="66"/>
    </x:row>
    <x:row r="17">
      <x:c r="A17" s="66"/>
      <x:c r="B17" s="66"/>
      <x:c r="C17" s="66"/>
      <x:c r="D17" s="66"/>
      <x:c r="E17" s="66"/>
      <x:c r="F17" s="66"/>
    </x:row>
    <x:row r="18" ht="24" customHeight="1">
      <x:c r="A18" s="67" t="str">
        <x:v>账本口径</x:v>
      </x:c>
      <x:c r="B18" s="66"/>
      <x:c r="C18" s="66"/>
      <x:c r="D18" s="66"/>
      <x:c r="E18" s="66"/>
      <x:c r="F18" s="66"/>
    </x:row>
    <x:row r="19">
      <x:c r="A19" s="47" t="str">
        <x:v>XP 账户</x:v>
      </x:c>
      <x:c r="B19" s="47" t="str">
        <x:v>用途</x:v>
      </x:c>
      <x:c r="C19" s="47" t="str">
        <x:v>清零</x:v>
      </x:c>
      <x:c r="D19" s="47" t="str">
        <x:v>来源</x:v>
      </x:c>
      <x:c r="E19" s="47" t="str">
        <x:v>第一版处理</x:v>
      </x:c>
      <x:c r="F19" s="47" t="str">
        <x:v>备注</x:v>
      </x:c>
    </x:row>
    <x:row r="20">
      <x:c r="A20" s="48" t="str">
        <x:v>累计等级 XP</x:v>
      </x:c>
      <x:c r="B20" s="48" t="str">
        <x:v>等级与长期身份</x:v>
      </x:c>
      <x:c r="C20" s="48" t="str">
        <x:v>不清零</x:v>
      </x:c>
      <x:c r="D20" s="48" t="str">
        <x:v>基础/进阶/挑战/限量复习</x:v>
      </x:c>
      <x:c r="E20" s="48" t="str">
        <x:v>启用</x:v>
      </x:c>
      <x:c r="F20" s="48" t="str">
        <x:v>不使用 Coins、不让倍卡膨胀等级</x:v>
      </x:c>
    </x:row>
    <x:row r="21">
      <x:c r="A21" s="48" t="str">
        <x:v>周榜 XP</x:v>
      </x:c>
      <x:c r="B21" s="48" t="str">
        <x:v>本周学习榜排名</x:v>
      </x:c>
      <x:c r="C21" s="48" t="str">
        <x:v>每周清零</x:v>
      </x:c>
      <x:c r="D21" s="48" t="str">
        <x:v>同一批有效学习事件</x:v>
      </x:c>
      <x:c r="E21" s="48" t="str">
        <x:v>启用</x:v>
      </x:c>
      <x:c r="F21" s="48" t="str">
        <x:v>受每日软上限</x:v>
      </x:c>
    </x:row>
    <x:row r="22">
      <x:c r="A22" s="48" t="str">
        <x:v>新手榜 XP</x:v>
      </x:c>
      <x:c r="B22" s="48" t="str">
        <x:v>同届学习榜</x:v>
      </x:c>
      <x:c r="C22" s="48" t="str">
        <x:v>新手期结束归档</x:v>
      </x:c>
      <x:c r="D22" s="48" t="str">
        <x:v>新手期有效学习事件</x:v>
      </x:c>
      <x:c r="E22" s="48" t="str">
        <x:v>启用</x:v>
      </x:c>
      <x:c r="F22" s="48" t="str">
        <x:v>新手奖励不污染正式榜</x:v>
      </x:c>
    </x:row>
    <x:row r="23">
      <x:c r="A23" s="48" t="str">
        <x:v>奖励/倍卡 XP</x:v>
      </x:c>
      <x:c r="B23" s="48" t="str">
        <x:v>未来运营刺激</x:v>
      </x:c>
      <x:c r="C23" s="48" t="str">
        <x:v>按活动周期</x:v>
      </x:c>
      <x:c r="D23" s="48" t="str">
        <x:v>任务、倍卡、赛季</x:v>
      </x:c>
      <x:c r="E23" s="48" t="str">
        <x:v>预留</x:v>
      </x:c>
      <x:c r="F23" s="48" t="str">
        <x:v>后续优先限额或不进等级</x:v>
      </x:c>
    </x:row>
  </x:sheetData>
  <x:mergeCells>
    <x:mergeCell ref="A1:F1"/>
    <x:mergeCell ref="A3:F3"/>
    <x:mergeCell ref="A10:B10"/>
    <x:mergeCell ref="D10:F10"/>
    <x:mergeCell ref="A18:F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32" hidden="0" customWidth="1"/>
    <x:col min="5" max="5" width="22" hidden="0" customWidth="1"/>
  </x:cols>
  <x:sheetData>
    <x:row r="1" ht="30" customHeight="1">
      <x:c r="A1" s="38" t="str">
        <x:v>排行榜奖励：第一版不引入 Coins</x:v>
      </x:c>
      <x:c r="B1" s="60"/>
      <x:c r="C1" s="60"/>
      <x:c r="D1" s="60"/>
      <x:c r="E1" s="60"/>
    </x:row>
    <x:row r="2">
      <x:c r="A2" s="60"/>
      <x:c r="B2" s="60"/>
      <x:c r="C2" s="60"/>
      <x:c r="D2" s="60"/>
      <x:c r="E2" s="60"/>
    </x:row>
    <x:row r="3" ht="24" customHeight="1">
      <x:c r="A3" s="2" t="str">
        <x:v>新手榜奖励</x:v>
      </x:c>
      <x:c r="B3" s="60"/>
      <x:c r="C3" s="60"/>
      <x:c r="D3" s="2" t="str">
        <x:v>正式周榜奖励</x:v>
      </x:c>
      <x:c r="E3" s="60"/>
    </x:row>
    <x:row r="4">
      <x:c r="A4" s="31" t="str">
        <x:v>条件</x:v>
      </x:c>
      <x:c r="B4" s="31" t="str">
        <x:v>奖励</x:v>
      </x:c>
      <x:c r="C4" s="60"/>
      <x:c r="D4" s="31" t="str">
        <x:v>条件</x:v>
      </x:c>
      <x:c r="E4" s="31" t="str">
        <x:v>奖励</x:v>
      </x:c>
    </x:row>
    <x:row r="5">
      <x:c r="A5" s="32" t="str">
        <x:v>第 1 名</x:v>
      </x:c>
      <x:c r="B5" s="32" t="str">
        <x:v>新星冠军徽章</x:v>
      </x:c>
      <x:c r="C5" s="60"/>
      <x:c r="D5" s="32" t="str">
        <x:v>第 1 名</x:v>
      </x:c>
      <x:c r="E5" s="32" t="str">
        <x:v>本周学习冠军徽章</x:v>
      </x:c>
    </x:row>
    <x:row r="6">
      <x:c r="A6" s="32" t="str">
        <x:v>前 3 名</x:v>
      </x:c>
      <x:c r="B6" s="32" t="str">
        <x:v>新手 Top 3 标记</x:v>
      </x:c>
      <x:c r="C6" s="60"/>
      <x:c r="D6" s="32" t="str">
        <x:v>前 3 名</x:v>
      </x:c>
      <x:c r="E6" s="32" t="str">
        <x:v>本周 Top 3 称号</x:v>
      </x:c>
    </x:row>
    <x:row r="7">
      <x:c r="A7" s="32" t="str">
        <x:v>前 50%</x:v>
      </x:c>
      <x:c r="B7" s="32" t="str">
        <x:v>新手优秀学习者</x:v>
      </x:c>
      <x:c r="C7" s="60"/>
      <x:c r="D7" s="32" t="str">
        <x:v>前 30%</x:v>
      </x:c>
      <x:c r="E7" s="32" t="str">
        <x:v>本周优秀学习者标记</x:v>
      </x:c>
    </x:row>
    <x:row r="8">
      <x:c r="A8" s="32" t="str">
        <x:v>完成 3 次有效学习</x:v>
      </x:c>
      <x:c r="B8" s="32" t="str">
        <x:v>启航徽章</x:v>
      </x:c>
      <x:c r="C8" s="60"/>
      <x:c r="D8" s="32" t="str">
        <x:v>达成个人周目标</x:v>
      </x:c>
      <x:c r="E8" s="32" t="str">
        <x:v>周目标完成徽章进度</x:v>
      </x:c>
    </x:row>
    <x:row r="9">
      <x:c r="A9" s="32" t="str">
        <x:v>完成首次口语</x:v>
      </x:c>
      <x:c r="B9" s="32" t="str">
        <x:v>首次开口徽章</x:v>
      </x:c>
      <x:c r="C9" s="60"/>
      <x:c r="D9" s="32" t="str">
        <x:v>连续 2 周参与</x:v>
      </x:c>
      <x:c r="E9" s="32" t="str">
        <x:v>连续参赛进度</x:v>
      </x:c>
    </x:row>
    <x:row r="10">
      <x:c r="A10" s="60"/>
      <x:c r="B10" s="60"/>
      <x:c r="C10" s="60"/>
      <x:c r="D10" s="60"/>
      <x:c r="E10" s="60"/>
    </x:row>
    <x:row r="11" ht="24" customHeight="1">
      <x:c r="A11" s="2" t="str">
        <x:v>暂不做的系统与预留规则</x:v>
      </x:c>
      <x:c r="B11" s="60"/>
      <x:c r="C11" s="60"/>
      <x:c r="D11" s="60"/>
      <x:c r="E11" s="60"/>
    </x:row>
    <x:row r="12">
      <x:c r="A12" s="47" t="str">
        <x:v>系统</x:v>
      </x:c>
      <x:c r="B12" s="47" t="str">
        <x:v>第一版处理</x:v>
      </x:c>
      <x:c r="C12" s="47" t="str">
        <x:v>原因</x:v>
      </x:c>
      <x:c r="D12" s="47" t="str">
        <x:v>后续原则</x:v>
      </x:c>
      <x:c r="E12" s="47" t="str">
        <x:v>是否影响当前 XP</x:v>
      </x:c>
    </x:row>
    <x:row r="13">
      <x:c r="A13" s="48" t="str">
        <x:v>Coins</x:v>
      </x:c>
      <x:c r="B13" s="48" t="str">
        <x:v>暂不做</x:v>
      </x:c>
      <x:c r="C13" s="48" t="str">
        <x:v>无消耗口会通胀，解释成本高</x:v>
      </x:c>
      <x:c r="D13" s="48" t="str">
        <x:v>有商店/资产消耗后再上</x:v>
      </x:c>
      <x:c r="E13" s="48" t="str">
        <x:v>否</x:v>
      </x:c>
    </x:row>
    <x:row r="14">
      <x:c r="A14" s="48" t="str">
        <x:v>商店/道具</x:v>
      </x:c>
      <x:c r="B14" s="48" t="str">
        <x:v>暂不做</x:v>
      </x:c>
      <x:c r="C14" s="48" t="str">
        <x:v>第一版目标是验证 XP + 排行榜</x:v>
      </x:c>
      <x:c r="D14" s="48" t="str">
        <x:v>与头像框、装扮、赛季资产一起规划</x:v>
      </x:c>
      <x:c r="E14" s="48" t="str">
        <x:v>否</x:v>
      </x:c>
    </x:row>
    <x:row r="15">
      <x:c r="A15" s="48" t="str">
        <x:v>每日任务</x:v>
      </x:c>
      <x:c r="B15" s="48" t="str">
        <x:v>暂不做或只做展示型目标</x:v>
      </x:c>
      <x:c r="C15" s="48" t="str">
        <x:v>避免用户过早形成刷任务=进步</x:v>
      </x:c>
      <x:c r="D15" s="48" t="str">
        <x:v>后续按完成任务数，不按获得 XP 数</x:v>
      </x:c>
      <x:c r="E15" s="48" t="str">
        <x:v>否</x:v>
      </x:c>
    </x:row>
    <x:row r="16">
      <x:c r="A16" s="48" t="str">
        <x:v>倍卡</x:v>
      </x:c>
      <x:c r="B16" s="48" t="str">
        <x:v>暂不做</x:v>
      </x:c>
      <x:c r="C16" s="48" t="str">
        <x:v>当前需要先验证基础 XP</x:v>
      </x:c>
      <x:c r="D16" s="48" t="str">
        <x:v>后续额外 XP 限额或不进等级</x:v>
      </x:c>
      <x:c r="E16" s="48" t="str">
        <x:v>否</x:v>
      </x:c>
    </x:row>
    <x:row r="17">
      <x:c r="A17" s="48" t="str">
        <x:v>付费兑换</x:v>
      </x:c>
      <x:c r="B17" s="48" t="str">
        <x:v>暂不做</x:v>
      </x:c>
      <x:c r="C17" s="48" t="str">
        <x:v>不能污染排行榜公平</x:v>
      </x:c>
      <x:c r="D17" s="48" t="str">
        <x:v>付费买表达/效率，不买排名</x:v>
      </x:c>
      <x:c r="E17" s="48" t="str">
        <x:v>否</x:v>
      </x:c>
    </x:row>
    <x:row r="18">
      <x:c r="A18" s="48" t="str">
        <x:v>月度挑战</x:v>
      </x:c>
      <x:c r="B18" s="48" t="str">
        <x:v>暂不做</x:v>
      </x:c>
      <x:c r="C18" s="48" t="str">
        <x:v>任务骨架未建</x:v>
      </x:c>
      <x:c r="D18" s="48" t="str">
        <x:v>完成 N 个任务，而非获得 N XP</x:v>
      </x:c>
      <x:c r="E18" s="48" t="str">
        <x:v>否</x:v>
      </x:c>
    </x:row>
    <x:row r="19">
      <x:c r="A19" s="66"/>
      <x:c r="B19" s="66"/>
      <x:c r="C19" s="66"/>
      <x:c r="D19" s="66"/>
      <x:c r="E19" s="66"/>
    </x:row>
    <x:row r="20" ht="24" customHeight="1">
      <x:c r="A20" s="67" t="str">
        <x:v>奖励设计原则</x:v>
      </x:c>
      <x:c r="B20" s="66"/>
      <x:c r="C20" s="66"/>
      <x:c r="D20" s="66"/>
      <x:c r="E20" s="66"/>
    </x:row>
    <x:row r="21">
      <x:c r="A21" s="65" t="str">
        <x:v>原则</x:v>
      </x:c>
      <x:c r="B21" s="65" t="str">
        <x:v>说明</x:v>
      </x:c>
      <x:c r="C21" s="65" t="str"/>
      <x:c r="D21" s="65" t="str"/>
      <x:c r="E21" s="65" t="str"/>
    </x:row>
    <x:row r="22">
      <x:c r="A22" s="65" t="str">
        <x:v>轻奖励</x:v>
      </x:c>
      <x:c r="B22" s="65" t="str">
        <x:v>第一版用徽章、称号、头像框试用、展示标记和结算动画，不发 Coins。</x:v>
      </x:c>
      <x:c r="C22" s="65" t="str"/>
      <x:c r="D22" s="65" t="str"/>
      <x:c r="E22" s="65" t="str"/>
    </x:row>
    <x:row r="23">
      <x:c r="A23" s="65" t="str">
        <x:v>不卖排名</x:v>
      </x:c>
      <x:c r="B23" s="65" t="str">
        <x:v>任何付费、道具、兑换都不能直接影响周榜排名。</x:v>
      </x:c>
      <x:c r="C23" s="65" t="str"/>
      <x:c r="D23" s="65" t="str"/>
      <x:c r="E23" s="65" t="str"/>
    </x:row>
    <x:row r="24">
      <x:c r="A24" s="65" t="str">
        <x:v>不奖励学习优势</x:v>
      </x:c>
      <x:c r="B24" s="65" t="str">
        <x:v>不奖励课程跳过、免练习通关、答案权益或 Mastery。</x:v>
      </x:c>
      <x:c r="C24" s="65" t="str"/>
      <x:c r="D24" s="65" t="str"/>
      <x:c r="E24" s="65" t="str"/>
    </x:row>
    <x:row r="25">
      <x:c r="A25" s="65" t="str">
        <x:v>先验证行为</x:v>
      </x:c>
      <x:c r="B25" s="65" t="str">
        <x:v>先观察 D1/D7、周内学习天数、口语/听力占比、复习刷满率。</x:v>
      </x:c>
      <x:c r="C25" s="65" t="str"/>
      <x:c r="D25" s="65" t="str"/>
      <x:c r="E25" s="65" t="str"/>
    </x:row>
  </x:sheetData>
  <x:mergeCells>
    <x:mergeCell ref="A1:E1"/>
    <x:mergeCell ref="A3:B3"/>
    <x:mergeCell ref="D3:E3"/>
    <x:mergeCell ref="A11:E11"/>
    <x:mergeCell ref="A20:E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12" hidden="0" customWidth="1"/>
    <x:col min="6" max="6" width="12" hidden="0" customWidth="1"/>
    <x:col min="7" max="7" width="12" hidden="0" customWidth="1"/>
    <x:col min="8" max="8" width="12" hidden="0" customWidth="1"/>
    <x:col min="5" max="5" width="12" hidden="0" customWidth="1"/>
  </x:cols>
  <x:sheetData>
    <x:row r="1" ht="30" customHeight="1">
      <x:c r="A1" s="38" t="str">
        <x:v>数据校准与 XP 膨胀模型：用 Pinu 真实数据约束第一版 XP</x:v>
      </x:c>
      <x:c r="B1" s="60"/>
      <x:c r="C1" s="60"/>
      <x:c r="D1" s="60"/>
      <x:c r="E1" s="60"/>
      <x:c r="F1" s="60"/>
      <x:c r="G1" s="60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 ht="24" customHeight="1">
      <x:c r="A3" s="2" t="str">
        <x:v>Pinu 真实数据输入</x:v>
      </x:c>
      <x:c r="B3" s="60"/>
      <x:c r="C3" s="60"/>
      <x:c r="D3" s="60"/>
      <x:c r="E3" s="60"/>
      <x:c r="F3" s="2" t="str">
        <x:v>基础 XP 校准</x:v>
      </x:c>
      <x:c r="G3" s="60"/>
      <x:c r="H3" s="60"/>
    </x:row>
    <x:row r="4">
      <x:c r="A4" s="47" t="str">
        <x:v>指标</x:v>
      </x:c>
      <x:c r="B4" s="47" t="str">
        <x:v>值</x:v>
      </x:c>
      <x:c r="C4" s="47" t="str">
        <x:v>单位</x:v>
      </x:c>
      <x:c r="D4" s="47" t="str">
        <x:v>来源</x:v>
      </x:c>
      <x:c r="E4" s="60"/>
      <x:c r="F4" s="47" t="str">
        <x:v>项目</x:v>
      </x:c>
      <x:c r="G4" s="47" t="str">
        <x:v>公式/值</x:v>
      </x:c>
      <x:c r="H4" s="47" t="str">
        <x:v>结论</x:v>
      </x:c>
    </x:row>
    <x:row r="5">
      <x:c r="A5" s="48" t="str">
        <x:v>近 7 日人均学习 level 数</x:v>
      </x:c>
      <x:c r="B5" s="53" t="n">
        <x:v>2.8594707651465887</x:v>
      </x:c>
      <x:c r="C5" s="48" t="str">
        <x:v>level/学习用户/日</x:v>
      </x:c>
      <x:c r="D5" s="48" t="str">
        <x:v>pinu人均学习level数，2026-06-17 至 2026-06-23</x:v>
      </x:c>
      <x:c r="E5" s="60"/>
      <x:c r="F5" s="48" t="str">
        <x:v>近 7 日基础 XP/日</x:v>
      </x:c>
      <x:c r="G5" s="56" t="n">
        <x:f>B5*'参数说明'!$B$4</x:f>
        <x:v>28.59470765146589</x:v>
      </x:c>
      <x:c r="H5" s="48" t="str">
        <x:v>接近原假设 30 XP/日</x:v>
      </x:c>
    </x:row>
    <x:row r="6">
      <x:c r="A6" s="48" t="str">
        <x:v>近 15 日人均学习 level 数</x:v>
      </x:c>
      <x:c r="B6" s="53" t="n">
        <x:v>3.1129283152672342</x:v>
      </x:c>
      <x:c r="C6" s="48" t="str">
        <x:v>level/学习用户/日</x:v>
      </x:c>
      <x:c r="D6" s="48" t="str">
        <x:v>pinu人均学习level数，2026-06-09 至 2026-06-23</x:v>
      </x:c>
      <x:c r="E6" s="60"/>
      <x:c r="F6" s="48" t="str">
        <x:v>近 15 日基础 XP/日</x:v>
      </x:c>
      <x:c r="G6" s="56" t="n">
        <x:f>B6*'参数说明'!$B$4</x:f>
        <x:v>31.129283152672343</x:v>
      </x:c>
      <x:c r="H6" s="48" t="str">
        <x:v>与 3 level/日假设一致</x:v>
      </x:c>
    </x:row>
    <x:row r="7">
      <x:c r="A7" s="48" t="str">
        <x:v>近 7 日平均学习人数</x:v>
      </x:c>
      <x:c r="B7" s="54" t="n">
        <x:v>968.8571428571429</x:v>
      </x:c>
      <x:c r="C7" s="48" t="str">
        <x:v>人/日</x:v>
      </x:c>
      <x:c r="D7" s="48" t="str">
        <x:v>pinu人均学习level数，2026-06-17 至 2026-06-23</x:v>
      </x:c>
      <x:c r="E7" s="60"/>
      <x:c r="F7" s="48" t="str">
        <x:v>近 7 日基础 XP/周</x:v>
      </x:c>
      <x:c r="G7" s="56" t="n">
        <x:f>G5*7</x:f>
        <x:v>200.16295356026123</x:v>
      </x:c>
      <x:c r="H7" s="48" t="str">
        <x:v>连续活跃用户约 200 XP/周</x:v>
      </x:c>
    </x:row>
    <x:row r="8">
      <x:c r="A8" s="48" t="str">
        <x:v>近 15 日人均打开次数</x:v>
      </x:c>
      <x:c r="B8" s="53" t="n">
        <x:v>2.224669987339493</x:v>
      </x:c>
      <x:c r="C8" s="48" t="str">
        <x:v>次/人/日</x:v>
      </x:c>
      <x:c r="D8" s="48" t="str">
        <x:v>pinu核心数据_人均打开次数，2026-06-09 至 2026-06-23</x:v>
      </x:c>
      <x:c r="E8" s="60"/>
      <x:c r="F8" s="48" t="str">
        <x:v>原表 Lv100 XP</x:v>
      </x:c>
      <x:c r="G8" s="54" t="n">
        <x:v>10950</x:v>
      </x:c>
      <x:c r="H8" s="48" t="str">
        <x:v>裸学习约 365 天</x:v>
      </x:c>
    </x:row>
    <x:row r="9">
      <x:c r="A9" s="48" t="str">
        <x:v>近 15 日人均时长</x:v>
      </x:c>
      <x:c r="B9" s="53" t="n">
        <x:v>11.050315605723698</x:v>
      </x:c>
      <x:c r="C9" s="48" t="str">
        <x:v>分钟/人/日</x:v>
      </x:c>
      <x:c r="D9" s="48" t="str">
        <x:v>pinu核心数据_人均时长，2026-06-09 至 2026-06-23</x:v>
      </x:c>
      <x:c r="E9" s="60"/>
      <x:c r="F9" s="60"/>
      <x:c r="G9" s="60"/>
      <x:c r="H9" s="60"/>
    </x:row>
    <x:row r="10">
      <x:c r="A10" s="48" t="str">
        <x:v>近 7 日单日时长低于 10 分钟用户占比</x:v>
      </x:c>
      <x:c r="B10" s="55" t="n">
        <x:v>0.63</x:v>
      </x:c>
      <x:c r="C10" s="48" t="str">
        <x:v>%</x:v>
      </x:c>
      <x:c r="D10" s="48" t="str">
        <x:v>pinu核心数据_时长分布，近 7 日 [0,5)+[5,10) UV 占比</x:v>
      </x:c>
      <x:c r="E10" s="60"/>
      <x:c r="F10" s="60"/>
      <x:c r="G10" s="60"/>
      <x:c r="H10" s="60"/>
    </x:row>
    <x:row r="11">
      <x:c r="A11" s="48" t="str">
        <x:v>成熟样本次留</x:v>
      </x:c>
      <x:c r="B11" s="55" t="n">
        <x:v>0.4636</x:v>
      </x:c>
      <x:c r="C11" s="48" t="str">
        <x:v>%</x:v>
      </x:c>
      <x:c r="D11" s="48" t="str">
        <x:v>pinu核心数据_APP留存，剔除未成熟 0 值</x:v>
      </x:c>
      <x:c r="E11" s="60"/>
      <x:c r="F11" s="60"/>
      <x:c r="G11" s="60"/>
      <x:c r="H11" s="60"/>
    </x:row>
    <x:row r="12">
      <x:c r="A12" s="48" t="str">
        <x:v>成熟样本 7 留</x:v>
      </x:c>
      <x:c r="B12" s="55" t="n">
        <x:v>0.3619</x:v>
      </x:c>
      <x:c r="C12" s="48" t="str">
        <x:v>%</x:v>
      </x:c>
      <x:c r="D12" s="48" t="str">
        <x:v>pinu核心数据_APP留存，剔除未成熟 0 值</x:v>
      </x:c>
      <x:c r="E12" s="60"/>
      <x:c r="F12" s="60"/>
      <x:c r="G12" s="60"/>
      <x:c r="H12" s="60"/>
    </x:row>
    <x:row r="13">
      <x:c r="A13" s="60"/>
      <x:c r="B13" s="60"/>
      <x:c r="C13" s="60"/>
      <x:c r="D13" s="60"/>
      <x:c r="E13" s="60"/>
      <x:c r="F13" s="60"/>
      <x:c r="G13" s="60"/>
      <x:c r="H13" s="60"/>
    </x:row>
    <x:row r="14" ht="24" customHeight="1">
      <x:c r="A14" s="2" t="str">
        <x:v>XP 膨胀情景：如果任务、倍卡、活动全部计入等级，Lv100 会提前打穿</x:v>
      </x:c>
      <x:c r="B14" s="60"/>
      <x:c r="C14" s="60"/>
      <x:c r="D14" s="60"/>
      <x:c r="E14" s="60"/>
      <x:c r="F14" s="60"/>
      <x:c r="G14" s="60"/>
      <x:c r="H14" s="2" t="str">
        <x:v>结论</x:v>
      </x:c>
    </x:row>
    <x:row r="15">
      <x:c r="A15" s="31" t="str">
        <x:v>情景</x:v>
      </x:c>
      <x:c r="B15" s="31" t="str">
        <x:v>XP 膨胀率</x:v>
      </x:c>
      <x:c r="C15" s="31" t="str">
        <x:v>日均 XP</x:v>
      </x:c>
      <x:c r="D15" s="31" t="str">
        <x:v>达到 Lv100 天数</x:v>
      </x:c>
      <x:c r="E15" s="31" t="str">
        <x:v>比 365 天提前</x:v>
      </x:c>
      <x:c r="F15" s="31" t="str">
        <x:v>设计判断</x:v>
      </x:c>
      <x:c r="G15" s="60"/>
      <x:c r="H15" s="68" t="str">
        <x:v>膨胀结论</x:v>
      </x:c>
    </x:row>
    <x:row r="16">
      <x:c r="A16" s="32" t="str">
        <x:v>裸学习</x:v>
      </x:c>
      <x:c r="B16" s="46" t="n">
        <x:v>0</x:v>
      </x:c>
      <x:c r="C16" s="41" t="n">
        <x:f>'参数说明'!$B$7*(1+B16)</x:f>
        <x:v>30</x:v>
      </x:c>
      <x:c r="D16" s="41" t="n">
        <x:f>'参数说明'!$B$21/C16</x:f>
        <x:v>365</x:v>
      </x:c>
      <x:c r="E16" s="41" t="n">
        <x:f>365-D16</x:f>
        <x:v>0</x:v>
      </x:c>
      <x:c r="F16" s="32" t="str">
        <x:v>可接受，作为裸学习基准</x:v>
      </x:c>
      <x:c r="G16" s="60"/>
      <x:c r="H16" s="65" t="str">
        <x:v>0%：Lv100 约 365 天</x:v>
      </x:c>
    </x:row>
    <x:row r="17">
      <x:c r="A17" s="32" t="str">
        <x:v>轻度膨胀</x:v>
      </x:c>
      <x:c r="B17" s="46" t="n">
        <x:v>0.25</x:v>
      </x:c>
      <x:c r="C17" s="41" t="n">
        <x:f>'参数说明'!$B$7*(1+B17)</x:f>
        <x:v>37.5</x:v>
      </x:c>
      <x:c r="D17" s="41" t="n">
        <x:f>'参数说明'!$B$21/C17</x:f>
        <x:v>292</x:v>
      </x:c>
      <x:c r="E17" s="41" t="n">
        <x:f>365-D17</x:f>
        <x:v>73</x:v>
      </x:c>
      <x:c r="F17" s="32" t="str">
        <x:v>可接受但需观察</x:v>
      </x:c>
      <x:c r="G17" s="60"/>
      <x:c r="H17" s="65" t="str">
        <x:v>25%：约 292 天，可观察</x:v>
      </x:c>
    </x:row>
    <x:row r="18">
      <x:c r="A18" s="32" t="str">
        <x:v>中度膨胀</x:v>
      </x:c>
      <x:c r="B18" s="46" t="n">
        <x:v>0.5</x:v>
      </x:c>
      <x:c r="C18" s="41" t="n">
        <x:f>'参数说明'!$B$7*(1+B18)</x:f>
        <x:v>45</x:v>
      </x:c>
      <x:c r="D18" s="41" t="n">
        <x:f>'参数说明'!$B$21/C18</x:f>
        <x:v>243.33333333333334</x:v>
      </x:c>
      <x:c r="E18" s="41" t="n">
        <x:f>365-D18</x:f>
        <x:v>121.66666666666666</x:v>
      </x:c>
      <x:c r="F18" s="32" t="str">
        <x:v>等级曲线会明显偏快</x:v>
      </x:c>
      <x:c r="G18" s="60"/>
      <x:c r="H18" s="65" t="str">
        <x:v>50%：约 243 天，偏快</x:v>
      </x:c>
    </x:row>
    <x:row r="19">
      <x:c r="A19" s="32" t="str">
        <x:v>重度膨胀</x:v>
      </x:c>
      <x:c r="B19" s="46" t="n">
        <x:v>0.8</x:v>
      </x:c>
      <x:c r="C19" s="41" t="n">
        <x:f>'参数说明'!$B$7*(1+B19)</x:f>
        <x:v>54</x:v>
      </x:c>
      <x:c r="D19" s="41" t="n">
        <x:f>'参数说明'!$B$21/C19</x:f>
        <x:v>202.77777777777777</x:v>
      </x:c>
      <x:c r="E19" s="41" t="n">
        <x:f>365-D19</x:f>
        <x:v>162.22222222222223</x:v>
      </x:c>
      <x:c r="F19" s="32" t="str">
        <x:v>不建议，长期身份被冲穿</x:v>
      </x:c>
      <x:c r="G19" s="60"/>
      <x:c r="H19" s="65" t="str">
        <x:v>80%：约 203 天，不建议</x:v>
      </x:c>
    </x:row>
    <x:row r="20">
      <x:c r="A20" s="60"/>
      <x:c r="B20" s="60"/>
      <x:c r="C20" s="60"/>
      <x:c r="D20" s="60"/>
      <x:c r="E20" s="60"/>
      <x:c r="F20" s="60"/>
      <x:c r="G20" s="60"/>
      <x:c r="H20" s="60"/>
    </x:row>
    <x:row r="21">
      <x:c r="A21" s="60"/>
      <x:c r="B21" s="60"/>
      <x:c r="C21" s="60"/>
      <x:c r="D21" s="60"/>
      <x:c r="E21" s="60"/>
      <x:c r="F21" s="60"/>
      <x:c r="G21" s="60"/>
      <x:c r="H21" s="60"/>
    </x:row>
    <x:row r="22" ht="24" customHeight="1">
      <x:c r="A22" s="2" t="str">
        <x:v>多邻国截图观点与 Pinu 设计响应</x:v>
      </x:c>
      <x:c r="B22" s="60"/>
      <x:c r="C22" s="60"/>
      <x:c r="D22" s="60"/>
      <x:c r="E22" s="60"/>
      <x:c r="F22" s="60"/>
      <x:c r="G22" s="60"/>
      <x:c r="H22" s="60"/>
    </x:row>
    <x:row r="23">
      <x:c r="A23" s="68" t="str">
        <x:v>观点</x:v>
      </x:c>
      <x:c r="B23" s="68" t="str">
        <x:v>多邻国经验</x:v>
      </x:c>
      <x:c r="C23" s="68" t="str">
        <x:v>Pinu 第一版响应</x:v>
      </x:c>
      <x:c r="D23" s="68" t="str"/>
      <x:c r="E23" s="68" t="str"/>
      <x:c r="F23" s="68" t="str"/>
      <x:c r="G23" s="68" t="str"/>
      <x:c r="H23" s="68" t="str"/>
    </x:row>
    <x:row r="24">
      <x:c r="A24" s="65" t="str">
        <x:v>XP 与学习质量有矛盾</x:v>
      </x:c>
      <x:c r="B24" s="65" t="str">
        <x:v>最快刷 XP 的行为不一定学习价值最高</x:v>
      </x:c>
      <x:c r="C24" s="65" t="str">
        <x:v>复习 5 XP 且每日限量；挑战 30 XP 但低频；监控口语/听力占比</x:v>
      </x:c>
      <x:c r="D24" s="65" t="str"/>
      <x:c r="E24" s="65" t="str"/>
      <x:c r="F24" s="65" t="str"/>
      <x:c r="G24" s="65" t="str"/>
      <x:c r="H24" s="65" t="str"/>
    </x:row>
    <x:row r="25">
      <x:c r="A25" s="65" t="str">
        <x:v>内部用 TSLW 衡量质量</x:v>
      </x:c>
      <x:c r="B25" s="65" t="str">
        <x:v>看有效学习时长，而不是 App 总时长或纯 XP</x:v>
      </x:c>
      <x:c r="C25" s="65" t="str">
        <x:v>新增 TSLW/有效学习监控，不把 XP 当唯一北极星</x:v>
      </x:c>
      <x:c r="D25" s="65" t="str"/>
      <x:c r="E25" s="65" t="str"/>
      <x:c r="F25" s="65" t="str"/>
      <x:c r="G25" s="65" t="str"/>
      <x:c r="H25" s="65" t="str"/>
    </x:row>
    <x:row r="26">
      <x:c r="A26" s="65" t="str">
        <x:v>月度挑战从 XP 改为任务</x:v>
      </x:c>
      <x:c r="B26" s="65" t="str">
        <x:v>避免 XP 通胀和刷分</x:v>
      </x:c>
      <x:c r="C26" s="65" t="str">
        <x:v>后续月度挑战按完成 N 个任务，不按获得 N XP</x:v>
      </x:c>
      <x:c r="D26" s="65" t="str"/>
      <x:c r="E26" s="65" t="str"/>
      <x:c r="F26" s="65" t="str"/>
      <x:c r="G26" s="65" t="str"/>
      <x:c r="H26" s="65" t="str"/>
    </x:row>
    <x:row r="27">
      <x:c r="A27" s="65" t="str">
        <x:v>10 XP 是直觉单位</x:v>
      </x:c>
      <x:c r="B27" s="65" t="str">
        <x:v>整数、倍数友好、每日目标低门槛</x:v>
      </x:c>
      <x:c r="C27" s="65" t="str">
        <x:v>保留 10/15/30/5 四档，避免复杂小数</x:v>
      </x:c>
      <x:c r="D27" s="65" t="str"/>
      <x:c r="E27" s="65" t="str"/>
      <x:c r="F27" s="65" t="str"/>
      <x:c r="G27" s="65" t="str"/>
      <x:c r="H27" s="65" t="str"/>
    </x:row>
    <x:row r="28">
      <x:c r="A28" s="65" t="str">
        <x:v>XP 是血液，任务是骨架</x:v>
      </x:c>
      <x:c r="B28" s="65" t="str">
        <x:v>只有 XP 会诱导刷分，只有任务缺即时反馈</x:v>
      </x:c>
      <x:c r="C28" s="65" t="str">
        <x:v>第一版先做 XP + 榜，任务预留但不发大量 XP</x:v>
      </x:c>
      <x:c r="D28" s="65" t="str"/>
      <x:c r="E28" s="65" t="str"/>
      <x:c r="F28" s="65" t="str"/>
      <x:c r="G28" s="65" t="str"/>
      <x:c r="H28" s="65" t="str"/>
    </x:row>
    <x:row r="29">
      <x:c r="A29" s="60"/>
      <x:c r="B29" s="60"/>
      <x:c r="C29" s="60"/>
      <x:c r="D29" s="60"/>
      <x:c r="E29" s="60"/>
      <x:c r="F29" s="60"/>
      <x:c r="G29" s="60"/>
      <x:c r="H29" s="60"/>
    </x:row>
    <x:row r="30">
      <x:c r="A30" s="60"/>
      <x:c r="B30" s="60"/>
      <x:c r="C30" s="60"/>
      <x:c r="D30" s="60"/>
      <x:c r="E30" s="60"/>
      <x:c r="F30" s="60"/>
      <x:c r="G30" s="60"/>
      <x:c r="H30" s="60"/>
    </x:row>
    <x:row r="31" ht="24" customHeight="1">
      <x:c r="A31" s="2" t="str">
        <x:v>上线后监控指标</x:v>
      </x:c>
      <x:c r="B31" s="60"/>
      <x:c r="C31" s="60"/>
      <x:c r="D31" s="60"/>
      <x:c r="E31" s="60"/>
      <x:c r="F31" s="60"/>
      <x:c r="G31" s="60"/>
      <x:c r="H31" s="60"/>
    </x:row>
    <x:row r="32">
      <x:c r="A32" s="68" t="str">
        <x:v>指标</x:v>
      </x:c>
      <x:c r="B32" s="68" t="str">
        <x:v>要回答的问题</x:v>
      </x:c>
      <x:c r="C32" s="68" t="str">
        <x:v>预警方向</x:v>
      </x:c>
      <x:c r="D32" s="68" t="str"/>
      <x:c r="E32" s="68" t="str"/>
      <x:c r="F32" s="68" t="str"/>
      <x:c r="G32" s="68" t="str"/>
      <x:c r="H32" s="68" t="str"/>
    </x:row>
    <x:row r="33">
      <x:c r="A33" s="65" t="str">
        <x:v>人均 XP/天</x:v>
      </x:c>
      <x:c r="B33" s="65" t="str">
        <x:v>是否从约 30 提升到合理区间</x:v>
      </x:c>
      <x:c r="C33" s="65" t="str">
        <x:v>异常飙升说明刷分或规则过松</x:v>
      </x:c>
      <x:c r="D33" s="65" t="str"/>
      <x:c r="E33" s="65" t="str"/>
      <x:c r="F33" s="65" t="str"/>
      <x:c r="G33" s="65" t="str"/>
      <x:c r="H33" s="65" t="str"/>
    </x:row>
    <x:row r="34">
      <x:c r="A34" s="65" t="str">
        <x:v>进阶题型 XP 占比</x:v>
      </x:c>
      <x:c r="B34" s="65" t="str">
        <x:v>口语/听力是否被 XP 促进</x:v>
      </x:c>
      <x:c r="C34" s="65" t="str">
        <x:v>占比不升说明 XP 未强化差异化</x:v>
      </x:c>
      <x:c r="D34" s="65" t="str"/>
      <x:c r="E34" s="65" t="str"/>
      <x:c r="F34" s="65" t="str"/>
      <x:c r="G34" s="65" t="str"/>
      <x:c r="H34" s="65" t="str"/>
    </x:row>
    <x:row r="35">
      <x:c r="A35" s="65" t="str">
        <x:v>复习 XP 刷满率</x:v>
      </x:c>
      <x:c r="B35" s="65" t="str">
        <x:v>复习上限是否合理</x:v>
      </x:c>
      <x:c r="C35" s="65" t="str">
        <x:v>大量用户刷满说明复习仍是刷分入口</x:v>
      </x:c>
      <x:c r="D35" s="65" t="str"/>
      <x:c r="E35" s="65" t="str"/>
      <x:c r="F35" s="65" t="str"/>
      <x:c r="G35" s="65" t="str"/>
      <x:c r="H35" s="65" t="str"/>
    </x:row>
    <x:row r="36">
      <x:c r="A36" s="65" t="str">
        <x:v>排行榜前 10 XP 来源</x:v>
      </x:c>
      <x:c r="B36" s="65" t="str">
        <x:v>头部是否主要来自有效学习</x:v>
      </x:c>
      <x:c r="C36" s="65" t="str">
        <x:v>重复复习/挑战占比过高需降权</x:v>
      </x:c>
      <x:c r="D36" s="65" t="str"/>
      <x:c r="E36" s="65" t="str"/>
      <x:c r="F36" s="65" t="str"/>
      <x:c r="G36" s="65" t="str"/>
      <x:c r="H36" s="65" t="str"/>
    </x:row>
    <x:row r="37">
      <x:c r="A37" s="65" t="str">
        <x:v>D1/D7、周内学习天数</x:v>
      </x:c>
      <x:c r="B37" s="65" t="str">
        <x:v>排行榜是否真的拉动留存</x:v>
      </x:c>
      <x:c r="C37" s="65" t="str">
        <x:v>只拉 XP 不拉留存说明激励无效</x:v>
      </x:c>
      <x:c r="D37" s="65" t="str"/>
      <x:c r="E37" s="65" t="str"/>
      <x:c r="F37" s="65" t="str"/>
      <x:c r="G37" s="65" t="str"/>
      <x:c r="H37" s="65" t="str"/>
    </x:row>
    <x:row r="38">
      <x:c r="A38" s="65" t="str">
        <x:v>TSLW/有效学习时长</x:v>
      </x:c>
      <x:c r="B38" s="65" t="str">
        <x:v>XP 是否带来认真学习</x:v>
      </x:c>
      <x:c r="C38" s="65" t="str">
        <x:v>XP 上升但 TSLW 不升说明质量风险</x:v>
      </x:c>
      <x:c r="D38" s="65" t="str"/>
      <x:c r="E38" s="65" t="str"/>
      <x:c r="F38" s="65" t="str"/>
      <x:c r="G38" s="65" t="str"/>
      <x:c r="H38" s="65" t="str"/>
    </x:row>
  </x:sheetData>
  <x:mergeCells>
    <x:mergeCell ref="A1:H1"/>
    <x:mergeCell ref="A3:D3"/>
    <x:mergeCell ref="F3:H3"/>
    <x:mergeCell ref="A14:F14"/>
    <x:mergeCell ref="A22:H22"/>
    <x:mergeCell ref="A31:H31"/>
  </x:mergeCells>
  <x:pageMargins left="0.7" right="0.7" top="0.75" bottom="0.75" header="0.3" footer="0.3"/>
</x:worksheet>
</file>